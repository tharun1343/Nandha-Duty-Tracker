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981347AEEE816E071B84EF6CC22C1DFE0C255D8F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ay" sheetId="1" r:id="rId1"/>
    <sheet name="Jun" sheetId="2" r:id="rId2"/>
    <sheet name="Jul" sheetId="3" r:id="rId3"/>
    <sheet name="Aug" sheetId="4" r:id="rId4"/>
    <sheet name="Sep" sheetId="5" r:id="rId5"/>
    <sheet name="Oct" sheetId="6" r:id="rId6"/>
    <sheet name="Nov" sheetId="7" r:id="rId7"/>
    <sheet name="Dec" sheetId="8" r:id="rId8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8" l="1"/>
  <c r="G35" i="8"/>
  <c r="F35" i="8"/>
  <c r="E35" i="8"/>
  <c r="D35" i="8"/>
  <c r="H34" i="7"/>
  <c r="G34" i="7"/>
  <c r="F34" i="7"/>
  <c r="E34" i="7"/>
  <c r="D34" i="7"/>
  <c r="H35" i="6"/>
  <c r="G35" i="6"/>
  <c r="F35" i="6"/>
  <c r="E35" i="6"/>
  <c r="D35" i="6"/>
  <c r="H34" i="5"/>
  <c r="G34" i="5"/>
  <c r="F34" i="5"/>
  <c r="E34" i="5"/>
  <c r="D34" i="5"/>
  <c r="H35" i="4"/>
  <c r="G35" i="4"/>
  <c r="F35" i="4"/>
  <c r="E35" i="4"/>
  <c r="D35" i="4"/>
  <c r="H35" i="3"/>
  <c r="G35" i="3"/>
  <c r="F35" i="3"/>
  <c r="E35" i="3"/>
  <c r="D35" i="3"/>
  <c r="H34" i="2"/>
  <c r="G34" i="2"/>
  <c r="F34" i="2"/>
  <c r="E34" i="2"/>
  <c r="D34" i="2"/>
  <c r="H35" i="1"/>
  <c r="G35" i="1"/>
  <c r="F35" i="1"/>
  <c r="E35" i="1"/>
  <c r="D35" i="1"/>
</calcChain>
</file>

<file path=xl/sharedStrings.xml><?xml version="1.0" encoding="utf-8"?>
<sst xmlns="http://schemas.openxmlformats.org/spreadsheetml/2006/main" count="863" uniqueCount="277">
  <si>
    <t>Daily Duty Tracker — May 2026</t>
  </si>
  <si>
    <t>#</t>
  </si>
  <si>
    <t>Date</t>
  </si>
  <si>
    <t>Day</t>
  </si>
  <si>
    <t>Status</t>
  </si>
  <si>
    <t>Morning Duty</t>
  </si>
  <si>
    <t>Evening Duty</t>
  </si>
  <si>
    <t>Paramount (₹)</t>
  </si>
  <si>
    <t>Bus Per (₹)</t>
  </si>
  <si>
    <t>01-May-2026</t>
  </si>
  <si>
    <t>Friday</t>
  </si>
  <si>
    <t>On Duty</t>
  </si>
  <si>
    <t>02-May-2026</t>
  </si>
  <si>
    <t>Saturday</t>
  </si>
  <si>
    <t>03-May-2026</t>
  </si>
  <si>
    <t>Sunday</t>
  </si>
  <si>
    <t>Holiday</t>
  </si>
  <si>
    <t>04-May-2026</t>
  </si>
  <si>
    <t>Monday</t>
  </si>
  <si>
    <t>05-May-2026</t>
  </si>
  <si>
    <t>Tuesday</t>
  </si>
  <si>
    <t>06-May-2026</t>
  </si>
  <si>
    <t>Wednesday</t>
  </si>
  <si>
    <t>07-May-2026</t>
  </si>
  <si>
    <t>Thursday</t>
  </si>
  <si>
    <t>08-May-2026</t>
  </si>
  <si>
    <t>09-May-2026</t>
  </si>
  <si>
    <t>10-May-2026</t>
  </si>
  <si>
    <t>11-May-2026</t>
  </si>
  <si>
    <t>12-May-2026</t>
  </si>
  <si>
    <t>13-May-2026</t>
  </si>
  <si>
    <t>14-May-2026</t>
  </si>
  <si>
    <t>15-May-2026</t>
  </si>
  <si>
    <t>16-May-2026</t>
  </si>
  <si>
    <t>17-May-2026</t>
  </si>
  <si>
    <t>18-May-2026</t>
  </si>
  <si>
    <t>19-May-2026</t>
  </si>
  <si>
    <t>20-May-2026</t>
  </si>
  <si>
    <t>21-May-2026</t>
  </si>
  <si>
    <t>22-May-2026</t>
  </si>
  <si>
    <t>23-May-2026</t>
  </si>
  <si>
    <t>24-May-2026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</si>
  <si>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</si>
  <si>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</si>
  <si>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</si>
  <si>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</si>
  <si>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</si>
  <si>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</si>
  <si>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</si>
  <si>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TOTALS</t>
  </si>
  <si>
    <t>On Duty Days:</t>
  </si>
  <si>
    <t>Morning Count:</t>
  </si>
  <si>
    <t>Evening Count:</t>
  </si>
  <si>
    <t>Total Paramount (₹):</t>
  </si>
  <si>
    <t>Total Bus Per (₹):</t>
  </si>
  <si>
    <t>Legend:  🟥 Pink rows = Holiday (Sunday)   🟩 Green rows = Duty day   Morning/Evening Duty: enter duty number (e.g. 8752)   Paramount &amp; Bus Per: enter amount in ₹</t>
  </si>
  <si>
    <t>Daily Duty Tracker — Jun 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</si>
  <si>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</si>
  <si>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</si>
  <si>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</si>
  <si>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</si>
  <si>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</si>
  <si>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</si>
  <si>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</si>
  <si>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</si>
  <si>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09-Jun-2026</t>
  </si>
  <si>
    <t>10-Jun-2026</t>
  </si>
  <si>
    <t>11-Jun-2026</t>
  </si>
  <si>
    <t>12-Jun-2026</t>
  </si>
  <si>
    <t>13-Jun-2026</t>
  </si>
  <si>
    <t>14-Jun-2026</t>
  </si>
  <si>
    <t>15-Jun-2026</t>
  </si>
  <si>
    <t>16-Jun-2026</t>
  </si>
  <si>
    <t>17-Jun-2026</t>
  </si>
  <si>
    <t>18-Jun-2026</t>
  </si>
  <si>
    <t>19-Jun-2026</t>
  </si>
  <si>
    <t>20-Jun-2026</t>
  </si>
  <si>
    <t>21-Jun-2026</t>
  </si>
  <si>
    <t>22-Jun-2026</t>
  </si>
  <si>
    <t>23-Jun-2026</t>
  </si>
  <si>
    <t>24-Jun-2026</t>
  </si>
  <si>
    <t>25-Jun-2026</t>
  </si>
  <si>
    <t>26-Jun-2026</t>
  </si>
  <si>
    <t>27-Jun-2026</t>
  </si>
  <si>
    <t>28-Jun-2026</t>
  </si>
  <si>
    <t>29-Jun-2026</t>
  </si>
  <si>
    <t>30-Jun-2026</t>
  </si>
  <si>
    <t>Daily Duty Tracker — Jul 2026</t>
  </si>
  <si>
    <t>01-Jul-2026</t>
  </si>
  <si>
    <t>02-Jul-2026</t>
  </si>
  <si>
    <t>03-Jul-2026</t>
  </si>
  <si>
    <t>04-Jul-2026</t>
  </si>
  <si>
    <t>05-Jul-2026</t>
  </si>
  <si>
    <t>06-Jul-2026</t>
  </si>
  <si>
    <t>07-Jul-2026</t>
  </si>
  <si>
    <t>08-Jul-2026</t>
  </si>
  <si>
    <t>09-Jul-2026</t>
  </si>
  <si>
    <t>10-Jul-2026</t>
  </si>
  <si>
    <t>11-Jul-2026</t>
  </si>
  <si>
    <t>12-Jul-2026</t>
  </si>
  <si>
    <t>13-Jul-2026</t>
  </si>
  <si>
    <t>14-Jul-2026</t>
  </si>
  <si>
    <t>15-Jul-2026</t>
  </si>
  <si>
    <t>16-Jul-2026</t>
  </si>
  <si>
    <t>17-Jul-2026</t>
  </si>
  <si>
    <t>18-Jul-2026</t>
  </si>
  <si>
    <t>19-Jul-2026</t>
  </si>
  <si>
    <t>20-Jul-2026</t>
  </si>
  <si>
    <t>21-Jul-2026</t>
  </si>
  <si>
    <t>22-Jul-2026</t>
  </si>
  <si>
    <t>23-Jul-2026</t>
  </si>
  <si>
    <t>24-Jul-2026</t>
  </si>
  <si>
    <t>25-Jul-2026</t>
  </si>
  <si>
    <t>26-Jul-2026</t>
  </si>
  <si>
    <t>27-Jul-2026</t>
  </si>
  <si>
    <t>28-Jul-2026</t>
  </si>
  <si>
    <t>29-Jul-2026</t>
  </si>
  <si>
    <t>30-Jul-2026</t>
  </si>
  <si>
    <t>31-Jul-2026</t>
  </si>
  <si>
    <t>Daily Duty Tracker — Aug 2026</t>
  </si>
  <si>
    <t>01-Aug-2026</t>
  </si>
  <si>
    <t>02-Aug-2026</t>
  </si>
  <si>
    <t>03-Aug-2026</t>
  </si>
  <si>
    <t>04-Aug-2026</t>
  </si>
  <si>
    <t>05-Aug-2026</t>
  </si>
  <si>
    <t>06-Aug-2026</t>
  </si>
  <si>
    <t>07-Aug-2026</t>
  </si>
  <si>
    <t>08-Aug-2026</t>
  </si>
  <si>
    <t>09-Aug-2026</t>
  </si>
  <si>
    <t>10-Aug-2026</t>
  </si>
  <si>
    <t>11-Aug-2026</t>
  </si>
  <si>
    <t>12-Aug-2026</t>
  </si>
  <si>
    <t>13-Aug-2026</t>
  </si>
  <si>
    <t>14-Aug-2026</t>
  </si>
  <si>
    <t>15-Aug-2026</t>
  </si>
  <si>
    <t>16-Aug-2026</t>
  </si>
  <si>
    <t>17-Aug-2026</t>
  </si>
  <si>
    <t>18-Aug-2026</t>
  </si>
  <si>
    <t>19-Aug-2026</t>
  </si>
  <si>
    <t>20-Aug-2026</t>
  </si>
  <si>
    <t>21-Aug-2026</t>
  </si>
  <si>
    <t>22-Aug-2026</t>
  </si>
  <si>
    <t>23-Aug-2026</t>
  </si>
  <si>
    <t>24-Aug-2026</t>
  </si>
  <si>
    <t>25-Aug-2026</t>
  </si>
  <si>
    <t>26-Aug-2026</t>
  </si>
  <si>
    <t>27-Aug-2026</t>
  </si>
  <si>
    <t>28-Aug-2026</t>
  </si>
  <si>
    <t>29-Aug-2026</t>
  </si>
  <si>
    <t>30-Aug-2026</t>
  </si>
  <si>
    <t>31-Aug-2026</t>
  </si>
  <si>
    <t>Daily Duty Tracker — Sep 2026</t>
  </si>
  <si>
    <t>01-Sep-2026</t>
  </si>
  <si>
    <t>02-Sep-2026</t>
  </si>
  <si>
    <t>03-Sep-2026</t>
  </si>
  <si>
    <t>04-Sep-2026</t>
  </si>
  <si>
    <t>05-Sep-2026</t>
  </si>
  <si>
    <t>06-Sep-2026</t>
  </si>
  <si>
    <t>07-Sep-2026</t>
  </si>
  <si>
    <t>08-Sep-2026</t>
  </si>
  <si>
    <t>09-Sep-2026</t>
  </si>
  <si>
    <t>10-Sep-2026</t>
  </si>
  <si>
    <t>11-Sep-2026</t>
  </si>
  <si>
    <t>12-Sep-2026</t>
  </si>
  <si>
    <t>13-Sep-2026</t>
  </si>
  <si>
    <t>14-Sep-2026</t>
  </si>
  <si>
    <t>15-Sep-2026</t>
  </si>
  <si>
    <t>16-Sep-2026</t>
  </si>
  <si>
    <t>17-Sep-2026</t>
  </si>
  <si>
    <t>18-Sep-2026</t>
  </si>
  <si>
    <t>19-Sep-2026</t>
  </si>
  <si>
    <t>20-Sep-2026</t>
  </si>
  <si>
    <t>21-Sep-2026</t>
  </si>
  <si>
    <t>22-Sep-2026</t>
  </si>
  <si>
    <t>23-Sep-2026</t>
  </si>
  <si>
    <t>24-Sep-2026</t>
  </si>
  <si>
    <t>25-Sep-2026</t>
  </si>
  <si>
    <t>26-Sep-2026</t>
  </si>
  <si>
    <t>27-Sep-2026</t>
  </si>
  <si>
    <t>28-Sep-2026</t>
  </si>
  <si>
    <t>29-Sep-2026</t>
  </si>
  <si>
    <t>30-Sep-2026</t>
  </si>
  <si>
    <t>Daily Duty Tracker — Oct 2026</t>
  </si>
  <si>
    <t>01-Oct-2026</t>
  </si>
  <si>
    <t>02-Oct-2026</t>
  </si>
  <si>
    <t>03-Oct-2026</t>
  </si>
  <si>
    <t>04-Oct-2026</t>
  </si>
  <si>
    <t>05-Oct-2026</t>
  </si>
  <si>
    <t>06-Oct-2026</t>
  </si>
  <si>
    <t>07-Oct-2026</t>
  </si>
  <si>
    <t>08-Oct-2026</t>
  </si>
  <si>
    <t>09-Oct-2026</t>
  </si>
  <si>
    <t>10-Oct-2026</t>
  </si>
  <si>
    <t>11-Oct-2026</t>
  </si>
  <si>
    <t>12-Oct-2026</t>
  </si>
  <si>
    <t>13-Oct-2026</t>
  </si>
  <si>
    <t>14-Oct-2026</t>
  </si>
  <si>
    <t>15-Oct-2026</t>
  </si>
  <si>
    <t>16-Oct-2026</t>
  </si>
  <si>
    <t>17-Oct-2026</t>
  </si>
  <si>
    <t>18-Oct-2026</t>
  </si>
  <si>
    <t>19-Oct-2026</t>
  </si>
  <si>
    <t>20-Oct-2026</t>
  </si>
  <si>
    <t>21-Oct-2026</t>
  </si>
  <si>
    <t>22-Oct-2026</t>
  </si>
  <si>
    <t>23-Oct-2026</t>
  </si>
  <si>
    <t>24-Oct-2026</t>
  </si>
  <si>
    <t>25-Oct-2026</t>
  </si>
  <si>
    <t>26-Oct-2026</t>
  </si>
  <si>
    <t>27-Oct-2026</t>
  </si>
  <si>
    <t>28-Oct-2026</t>
  </si>
  <si>
    <t>29-Oct-2026</t>
  </si>
  <si>
    <t>30-Oct-2026</t>
  </si>
  <si>
    <t>31-Oct-2026</t>
  </si>
  <si>
    <t>Daily Duty Tracker — Nov 2026</t>
  </si>
  <si>
    <t>01-Nov-2026</t>
  </si>
  <si>
    <t>02-Nov-2026</t>
  </si>
  <si>
    <t>03-Nov-2026</t>
  </si>
  <si>
    <t>04-Nov-2026</t>
  </si>
  <si>
    <t>05-Nov-2026</t>
  </si>
  <si>
    <t>06-Nov-2026</t>
  </si>
  <si>
    <t>07-Nov-2026</t>
  </si>
  <si>
    <t>08-Nov-2026</t>
  </si>
  <si>
    <t>09-Nov-2026</t>
  </si>
  <si>
    <t>10-Nov-2026</t>
  </si>
  <si>
    <t>11-Nov-2026</t>
  </si>
  <si>
    <t>12-Nov-2026</t>
  </si>
  <si>
    <t>13-Nov-2026</t>
  </si>
  <si>
    <t>14-Nov-2026</t>
  </si>
  <si>
    <t>15-Nov-2026</t>
  </si>
  <si>
    <t>16-Nov-2026</t>
  </si>
  <si>
    <t>17-Nov-2026</t>
  </si>
  <si>
    <t>18-Nov-2026</t>
  </si>
  <si>
    <t>19-Nov-2026</t>
  </si>
  <si>
    <t>20-Nov-2026</t>
  </si>
  <si>
    <t>21-Nov-2026</t>
  </si>
  <si>
    <t>22-Nov-2026</t>
  </si>
  <si>
    <t>23-Nov-2026</t>
  </si>
  <si>
    <t>24-Nov-2026</t>
  </si>
  <si>
    <t>25-Nov-2026</t>
  </si>
  <si>
    <t>26-Nov-2026</t>
  </si>
  <si>
    <t>27-Nov-2026</t>
  </si>
  <si>
    <t>28-Nov-2026</t>
  </si>
  <si>
    <t>29-Nov-2026</t>
  </si>
  <si>
    <t>30-Nov-2026</t>
  </si>
  <si>
    <t>Daily Duty Tracker — Dec 2026</t>
  </si>
  <si>
    <t>01-Dec-2026</t>
  </si>
  <si>
    <t>02-Dec-2026</t>
  </si>
  <si>
    <t>03-Dec-2026</t>
  </si>
  <si>
    <t>04-Dec-2026</t>
  </si>
  <si>
    <t>05-Dec-2026</t>
  </si>
  <si>
    <t>06-Dec-2026</t>
  </si>
  <si>
    <t>07-Dec-2026</t>
  </si>
  <si>
    <t>08-Dec-2026</t>
  </si>
  <si>
    <t>09-Dec-2026</t>
  </si>
  <si>
    <t>10-Dec-2026</t>
  </si>
  <si>
    <t>11-Dec-2026</t>
  </si>
  <si>
    <t>12-Dec-2026</t>
  </si>
  <si>
    <t>13-Dec-2026</t>
  </si>
  <si>
    <t>14-Dec-2026</t>
  </si>
  <si>
    <t>15-Dec-2026</t>
  </si>
  <si>
    <t>16-Dec-2026</t>
  </si>
  <si>
    <t>17-Dec-2026</t>
  </si>
  <si>
    <t>18-Dec-2026</t>
  </si>
  <si>
    <t>19-Dec-2026</t>
  </si>
  <si>
    <t>20-Dec-2026</t>
  </si>
  <si>
    <t>21-Dec-2026</t>
  </si>
  <si>
    <t>22-Dec-2026</t>
  </si>
  <si>
    <t>23-Dec-2026</t>
  </si>
  <si>
    <t>24-Dec-2026</t>
  </si>
  <si>
    <t>25-Dec-2026</t>
  </si>
  <si>
    <t>26-Dec-2026</t>
  </si>
  <si>
    <t>27-Dec-2026</t>
  </si>
  <si>
    <t>28-Dec-2026</t>
  </si>
  <si>
    <t>29-Dec-2026</t>
  </si>
  <si>
    <t>30-Dec-2026</t>
  </si>
  <si>
    <t>31-Dec-2026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</si>
</sst>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392B"/>
      <name val="Arial"/>
      <charset val="1"/>
    </font>
    <font>
      <b/>
      <sz val="10"/>
      <color rgb="FF1F4E79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E4E1"/>
        <bgColor rgb="FFF2F2F2"/>
      </patternFill>
    </fill>
    <fill>
      <patternFill patternType="solid">
        <fgColor rgb="FFD6E4F0"/>
        <bgColor rgb="FFDAEEF3"/>
      </patternFill>
    </fill>
    <fill>
      <patternFill patternType="solid">
        <fgColor rgb="FFDAEEF3"/>
        <bgColor rgb="FFD6E4F0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9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5" fillId="7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4" fontId="6" fillId="8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E4E1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9</v>
      </c>
      <c r="C3" s="6" t="s">
        <v>10</v>
      </c>
      <c r="D3" s="6" t="s">
        <v>11</v>
      </c>
      <c r="E3" s="6"/>
      <c r="F3" s="6"/>
      <c r="G3" s="6"/>
      <c r="H3" s="6"/>
    </row>
    <row r="4" spans="1:8" ht="19.5" customHeight="1" x14ac:dyDescent="0.2">
      <c r="A4" s="8">
        <v>2</v>
      </c>
      <c r="B4" s="9" t="s">
        <v>12</v>
      </c>
      <c r="C4" s="8" t="s">
        <v>13</v>
      </c>
      <c r="D4" s="8" t="s">
        <v>11</v>
      </c>
      <c r="E4" s="8"/>
      <c r="F4" s="8"/>
      <c r="G4" s="8"/>
      <c r="H4" s="8"/>
    </row>
    <row r="5" spans="1:8" ht="19.5" customHeight="1" x14ac:dyDescent="0.2">
      <c r="A5" s="10">
        <v>3</v>
      </c>
      <c r="B5" s="11" t="s">
        <v>14</v>
      </c>
      <c r="C5" s="10" t="s">
        <v>15</v>
      </c>
      <c r="D5" s="12" t="s">
        <v>16</v>
      </c>
      <c r="E5" s="10"/>
      <c r="F5" s="10"/>
      <c r="G5" s="10"/>
      <c r="H5" s="10"/>
    </row>
    <row r="6" spans="1:8" ht="19.5" customHeight="1" x14ac:dyDescent="0.2">
      <c r="A6" s="8">
        <v>4</v>
      </c>
      <c r="B6" s="9" t="s">
        <v>17</v>
      </c>
      <c r="C6" s="8" t="s">
        <v>18</v>
      </c>
      <c r="D6" s="8" t="s">
        <v>11</v>
      </c>
      <c r="E6" s="8"/>
      <c r="F6" s="8"/>
      <c r="G6" s="8"/>
      <c r="H6" s="8"/>
    </row>
    <row r="7" spans="1:8" ht="19.5" customHeight="1" x14ac:dyDescent="0.2">
      <c r="A7" s="6">
        <v>5</v>
      </c>
      <c r="B7" s="7" t="s">
        <v>19</v>
      </c>
      <c r="C7" s="6" t="s">
        <v>20</v>
      </c>
      <c r="D7" s="6" t="s">
        <v>11</v>
      </c>
      <c r="E7" s="6"/>
      <c r="F7" s="6"/>
      <c r="G7" s="6"/>
      <c r="H7" s="6"/>
    </row>
    <row r="8" spans="1:8" ht="19.5" customHeight="1" x14ac:dyDescent="0.2">
      <c r="A8" s="8">
        <v>6</v>
      </c>
      <c r="B8" s="9" t="s">
        <v>21</v>
      </c>
      <c r="C8" s="8" t="s">
        <v>22</v>
      </c>
      <c r="D8" s="8" t="s">
        <v>11</v>
      </c>
      <c r="E8" s="8"/>
      <c r="F8" s="8"/>
      <c r="G8" s="8"/>
      <c r="H8" s="8"/>
    </row>
    <row r="9" spans="1:8" ht="19.5" customHeight="1" x14ac:dyDescent="0.2">
      <c r="A9" s="6">
        <v>7</v>
      </c>
      <c r="B9" s="7" t="s">
        <v>23</v>
      </c>
      <c r="C9" s="6" t="s">
        <v>24</v>
      </c>
      <c r="D9" s="6" t="s">
        <v>11</v>
      </c>
      <c r="E9" s="6"/>
      <c r="F9" s="6"/>
      <c r="G9" s="6"/>
      <c r="H9" s="6"/>
    </row>
    <row r="10" spans="1:8" ht="19.5" customHeight="1" x14ac:dyDescent="0.2">
      <c r="A10" s="8">
        <v>8</v>
      </c>
      <c r="B10" s="9" t="s">
        <v>25</v>
      </c>
      <c r="C10" s="8" t="s">
        <v>10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6">
        <v>9</v>
      </c>
      <c r="B11" s="7" t="s">
        <v>26</v>
      </c>
      <c r="C11" s="6" t="s">
        <v>13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10">
        <v>10</v>
      </c>
      <c r="B12" s="11" t="s">
        <v>27</v>
      </c>
      <c r="C12" s="10" t="s">
        <v>15</v>
      </c>
      <c r="D12" s="12" t="s">
        <v>16</v>
      </c>
      <c r="E12" s="10"/>
      <c r="F12" s="10"/>
      <c r="G12" s="10"/>
      <c r="H12" s="10"/>
    </row>
    <row r="13" spans="1:8" ht="19.5" customHeight="1" x14ac:dyDescent="0.2">
      <c r="A13" s="6">
        <v>11</v>
      </c>
      <c r="B13" s="7" t="s">
        <v>28</v>
      </c>
      <c r="C13" s="6" t="s">
        <v>18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8">
        <v>12</v>
      </c>
      <c r="B14" s="9" t="s">
        <v>29</v>
      </c>
      <c r="C14" s="8" t="s">
        <v>20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6">
        <v>13</v>
      </c>
      <c r="B15" s="7" t="s">
        <v>30</v>
      </c>
      <c r="C15" s="6" t="s">
        <v>22</v>
      </c>
      <c r="D15" s="6" t="s">
        <v>11</v>
      </c>
      <c r="E15" s="6"/>
      <c r="F15" s="6"/>
      <c r="G15" s="6"/>
      <c r="H15" s="6"/>
    </row>
    <row r="16" spans="1:8" ht="19.5" customHeight="1" x14ac:dyDescent="0.2">
      <c r="A16" s="8">
        <v>14</v>
      </c>
      <c r="B16" s="9" t="s">
        <v>31</v>
      </c>
      <c r="C16" s="8" t="s">
        <v>24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6">
        <v>15</v>
      </c>
      <c r="B17" s="7" t="s">
        <v>32</v>
      </c>
      <c r="C17" s="6" t="s">
        <v>10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8">
        <v>16</v>
      </c>
      <c r="B18" s="9" t="s">
        <v>33</v>
      </c>
      <c r="C18" s="8" t="s">
        <v>13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10">
        <v>17</v>
      </c>
      <c r="B19" s="11" t="s">
        <v>34</v>
      </c>
      <c r="C19" s="10" t="s">
        <v>15</v>
      </c>
      <c r="D19" s="12" t="s">
        <v>16</v>
      </c>
      <c r="E19" s="10"/>
      <c r="F19" s="10"/>
      <c r="G19" s="10"/>
      <c r="H19" s="10"/>
    </row>
    <row r="20" spans="1:8" ht="19.5" customHeight="1" x14ac:dyDescent="0.2">
      <c r="A20" s="8">
        <v>18</v>
      </c>
      <c r="B20" s="9" t="s">
        <v>35</v>
      </c>
      <c r="C20" s="8" t="s">
        <v>18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6">
        <v>19</v>
      </c>
      <c r="B21" s="7" t="s">
        <v>36</v>
      </c>
      <c r="C21" s="6" t="s">
        <v>20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8">
        <v>20</v>
      </c>
      <c r="B22" s="9" t="s">
        <v>37</v>
      </c>
      <c r="C22" s="8" t="s">
        <v>22</v>
      </c>
      <c r="D22" s="8" t="s">
        <v>11</v>
      </c>
      <c r="E22" s="8"/>
      <c r="F22" s="8"/>
      <c r="G22" s="8"/>
      <c r="H22" s="8"/>
    </row>
    <row r="23" spans="1:8" ht="19.5" customHeight="1" x14ac:dyDescent="0.2">
      <c r="A23" s="6">
        <v>21</v>
      </c>
      <c r="B23" s="7" t="s">
        <v>38</v>
      </c>
      <c r="C23" s="6" t="s">
        <v>24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8">
        <v>22</v>
      </c>
      <c r="B24" s="9" t="s">
        <v>39</v>
      </c>
      <c r="C24" s="8" t="s">
        <v>10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6">
        <v>23</v>
      </c>
      <c r="B25" s="7" t="s">
        <v>40</v>
      </c>
      <c r="C25" s="6" t="s">
        <v>13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10">
        <v>24</v>
      </c>
      <c r="B26" s="11" t="s">
        <v>41</v>
      </c>
      <c r="C26" s="10" t="s">
        <v>15</v>
      </c>
      <c r="D26" s="12" t="s">
        <v>16</v>
      </c>
      <c r="E26" s="10"/>
      <c r="F26" s="10"/>
      <c r="G26" s="10"/>
      <c r="H26" s="10"/>
    </row>
    <row r="27" spans="1:8" ht="19.5" customHeight="1" x14ac:dyDescent="0.2">
      <c r="A27" s="6">
        <v>25</v>
      </c>
      <c r="B27" s="7" t="s">
        <v>42</v>
      </c>
      <c r="C27" s="6" t="s">
        <v>18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8">
        <v>26</v>
      </c>
      <c r="B28" s="9" t="s">
        <v>43</v>
      </c>
      <c r="C28" s="8" t="s">
        <v>20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6">
        <v>27</v>
      </c>
      <c r="B29" s="7" t="s">
        <v>44</v>
      </c>
      <c r="C29" s="6" t="s">
        <v>22</v>
      </c>
      <c r="D29" s="6" t="s">
        <v>11</v>
      </c>
      <c r="E29" s="6"/>
      <c r="F29" s="6"/>
      <c r="G29" s="6"/>
      <c r="H29" s="6"/>
    </row>
    <row r="30" spans="1:8" ht="19.5" customHeight="1" x14ac:dyDescent="0.2">
      <c r="A30" s="8">
        <v>28</v>
      </c>
      <c r="B30" s="9" t="s">
        <v>45</v>
      </c>
      <c r="C30" s="8" t="s">
        <v>24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6">
        <v>29</v>
      </c>
      <c r="B31" s="7" t="s">
        <v>46</v>
      </c>
      <c r="C31" s="6" t="s">
        <v>10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8">
        <v>30</v>
      </c>
      <c r="B32" s="9" t="s">
        <v>47</v>
      </c>
      <c r="C32" s="8" t="s">
        <v>13</v>
      </c>
      <c r="D32" s="8" t="s">
        <v>11</v>
      </c>
      <c r="E32" s="8"/>
      <c r="F32" s="8"/>
      <c r="G32" s="8"/>
      <c r="H32" s="8"/>
    </row>
    <row r="33" spans="1:8" ht="19.5" customHeight="1" x14ac:dyDescent="0.2">
      <c r="A33" s="10">
        <v>31</v>
      </c>
      <c r="B33" s="11" t="s">
        <v>48</v>
      </c>
      <c r="C33" s="10" t="s">
        <v>15</v>
      </c>
      <c r="D33" s="12" t="s">
        <v>16</v>
      </c>
      <c r="E33" s="10"/>
      <c r="F33" s="10"/>
      <c r="G33" s="10"/>
      <c r="H33" s="10"/>
    </row>
    <row r="34" spans="1:8" ht="21.75" customHeight="1" x14ac:dyDescent="0.2">
      <c r="A34" s="3" t="s">
        <v>49</v>
      </c>
      <c r="B34" s="3"/>
      <c r="C34" s="3"/>
      <c r="D34" s="13" t="s">
        <v>50</v>
      </c>
      <c r="E34" s="13" t="s">
        <v>51</v>
      </c>
      <c r="F34" s="13" t="s">
        <v>52</v>
      </c>
      <c r="G34" s="13" t="s">
        <v>53</v>
      </c>
      <c r="H34" s="13" t="s">
        <v>54</v>
      </c>
    </row>
    <row r="35" spans="1:8" ht="21.75" customHeight="1" x14ac:dyDescent="0.2">
      <c r="A35" s="2"/>
      <c r="B35" s="2"/>
      <c r="C35" s="2"/>
      <c r="D35" s="14">
        <f>COUNTIF(D3:D33,"On Duty")</f>
        <v>26</v>
      </c>
      <c r="E35" s="14">
        <f>COUNTA(E3:E33)</f>
        <v>0</v>
      </c>
      <c r="F35" s="14">
        <f>COUNTA(F3:F33)</f>
        <v>0</v>
      </c>
      <c r="G35" s="15">
        <f>SUM(G3:G33)</f>
        <v>0</v>
      </c>
      <c r="H35" s="15">
        <f>SUM(H3:H33)</f>
        <v>0</v>
      </c>
    </row>
    <row r="37" spans="1:8" ht="27.75" customHeight="1" x14ac:dyDescent="0.2">
      <c r="A37" s="1" t="s">
        <v>55</v>
      </c>
      <c r="B37" s="1"/>
      <c r="C37" s="1"/>
      <c r="D37" s="1"/>
      <c r="E37" s="1"/>
      <c r="F37" s="1"/>
      <c r="G37" s="1"/>
      <c r="H37" s="1"/>
    </row>
  </sheetData>
  <mergeCells count="4">
    <mergeCell ref="A1:H1"/>
    <mergeCell ref="A34:C34"/>
    <mergeCell ref="A35:C35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56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57</v>
      </c>
      <c r="C3" s="6" t="s">
        <v>18</v>
      </c>
      <c r="D3" s="6" t="s">
        <v>11</v>
      </c>
      <c r="E3" s="6"/>
      <c r="F3" s="6"/>
      <c r="G3" s="6"/>
      <c r="H3" s="6"/>
    </row>
    <row r="4" spans="1:8" ht="19.5" customHeight="1" x14ac:dyDescent="0.2">
      <c r="A4" s="8">
        <v>2</v>
      </c>
      <c r="B4" s="9" t="s">
        <v>58</v>
      </c>
      <c r="C4" s="8" t="s">
        <v>20</v>
      </c>
      <c r="D4" s="8" t="s">
        <v>11</v>
      </c>
      <c r="E4" s="8"/>
      <c r="F4" s="8"/>
      <c r="G4" s="8"/>
      <c r="H4" s="8"/>
    </row>
    <row r="5" spans="1:8" ht="19.5" customHeight="1" x14ac:dyDescent="0.2">
      <c r="A5" s="6">
        <v>3</v>
      </c>
      <c r="B5" s="7" t="s">
        <v>59</v>
      </c>
      <c r="C5" s="6" t="s">
        <v>22</v>
      </c>
      <c r="D5" s="6" t="s">
        <v>11</v>
      </c>
      <c r="E5" s="6"/>
      <c r="F5" s="6"/>
      <c r="G5" s="6"/>
      <c r="H5" s="6"/>
    </row>
    <row r="6" spans="1:8" ht="19.5" customHeight="1" x14ac:dyDescent="0.2">
      <c r="A6" s="8">
        <v>4</v>
      </c>
      <c r="B6" s="9" t="s">
        <v>60</v>
      </c>
      <c r="C6" s="8" t="s">
        <v>24</v>
      </c>
      <c r="D6" s="8" t="s">
        <v>11</v>
      </c>
      <c r="E6" s="8"/>
      <c r="F6" s="8"/>
      <c r="G6" s="8"/>
      <c r="H6" s="8"/>
    </row>
    <row r="7" spans="1:8" ht="19.5" customHeight="1" x14ac:dyDescent="0.2">
      <c r="A7" s="6">
        <v>5</v>
      </c>
      <c r="B7" s="7" t="s">
        <v>61</v>
      </c>
      <c r="C7" s="6" t="s">
        <v>10</v>
      </c>
      <c r="D7" s="6" t="s">
        <v>11</v>
      </c>
      <c r="E7" s="6"/>
      <c r="F7" s="6"/>
      <c r="G7" s="6"/>
      <c r="H7" s="6"/>
    </row>
    <row r="8" spans="1:8" ht="19.5" customHeight="1" x14ac:dyDescent="0.2">
      <c r="A8" s="8">
        <v>6</v>
      </c>
      <c r="B8" s="9" t="s">
        <v>62</v>
      </c>
      <c r="C8" s="8" t="s">
        <v>13</v>
      </c>
      <c r="D8" s="8" t="s">
        <v>11</v>
      </c>
      <c r="E8" s="8"/>
      <c r="F8" s="8"/>
      <c r="G8" s="8"/>
      <c r="H8" s="8"/>
    </row>
    <row r="9" spans="1:8" ht="19.5" customHeight="1" x14ac:dyDescent="0.2">
      <c r="A9" s="10">
        <v>7</v>
      </c>
      <c r="B9" s="11" t="s">
        <v>63</v>
      </c>
      <c r="C9" s="10" t="s">
        <v>15</v>
      </c>
      <c r="D9" s="12" t="s">
        <v>16</v>
      </c>
      <c r="E9" s="10"/>
      <c r="F9" s="10"/>
      <c r="G9" s="10"/>
      <c r="H9" s="10"/>
    </row>
    <row r="10" spans="1:8" ht="19.5" customHeight="1" x14ac:dyDescent="0.2">
      <c r="A10" s="8">
        <v>8</v>
      </c>
      <c r="B10" s="9" t="s">
        <v>64</v>
      </c>
      <c r="C10" s="8" t="s">
        <v>18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6">
        <v>9</v>
      </c>
      <c r="B11" s="7" t="s">
        <v>65</v>
      </c>
      <c r="C11" s="6" t="s">
        <v>20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8">
        <v>10</v>
      </c>
      <c r="B12" s="9" t="s">
        <v>66</v>
      </c>
      <c r="C12" s="8" t="s">
        <v>22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6">
        <v>11</v>
      </c>
      <c r="B13" s="7" t="s">
        <v>67</v>
      </c>
      <c r="C13" s="6" t="s">
        <v>24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8">
        <v>12</v>
      </c>
      <c r="B14" s="9" t="s">
        <v>68</v>
      </c>
      <c r="C14" s="8" t="s">
        <v>10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6">
        <v>13</v>
      </c>
      <c r="B15" s="7" t="s">
        <v>69</v>
      </c>
      <c r="C15" s="6" t="s">
        <v>13</v>
      </c>
      <c r="D15" s="6" t="s">
        <v>11</v>
      </c>
      <c r="E15" s="6"/>
      <c r="F15" s="6"/>
      <c r="G15" s="6"/>
      <c r="H15" s="6"/>
    </row>
    <row r="16" spans="1:8" ht="19.5" customHeight="1" x14ac:dyDescent="0.2">
      <c r="A16" s="10">
        <v>14</v>
      </c>
      <c r="B16" s="11" t="s">
        <v>70</v>
      </c>
      <c r="C16" s="10" t="s">
        <v>15</v>
      </c>
      <c r="D16" s="12" t="s">
        <v>16</v>
      </c>
      <c r="E16" s="10"/>
      <c r="F16" s="10"/>
      <c r="G16" s="10"/>
      <c r="H16" s="10"/>
    </row>
    <row r="17" spans="1:8" ht="19.5" customHeight="1" x14ac:dyDescent="0.2">
      <c r="A17" s="6">
        <v>15</v>
      </c>
      <c r="B17" s="7" t="s">
        <v>71</v>
      </c>
      <c r="C17" s="6" t="s">
        <v>18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8">
        <v>16</v>
      </c>
      <c r="B18" s="9" t="s">
        <v>72</v>
      </c>
      <c r="C18" s="8" t="s">
        <v>20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6">
        <v>17</v>
      </c>
      <c r="B19" s="7" t="s">
        <v>73</v>
      </c>
      <c r="C19" s="6" t="s">
        <v>22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8">
        <v>18</v>
      </c>
      <c r="B20" s="9" t="s">
        <v>74</v>
      </c>
      <c r="C20" s="8" t="s">
        <v>24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6">
        <v>19</v>
      </c>
      <c r="B21" s="7" t="s">
        <v>75</v>
      </c>
      <c r="C21" s="6" t="s">
        <v>10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8">
        <v>20</v>
      </c>
      <c r="B22" s="9" t="s">
        <v>76</v>
      </c>
      <c r="C22" s="8" t="s">
        <v>13</v>
      </c>
      <c r="D22" s="8" t="s">
        <v>11</v>
      </c>
      <c r="E22" s="8"/>
      <c r="F22" s="8"/>
      <c r="G22" s="8"/>
      <c r="H22" s="8"/>
    </row>
    <row r="23" spans="1:8" ht="19.5" customHeight="1" x14ac:dyDescent="0.2">
      <c r="A23" s="10">
        <v>21</v>
      </c>
      <c r="B23" s="11" t="s">
        <v>77</v>
      </c>
      <c r="C23" s="10" t="s">
        <v>15</v>
      </c>
      <c r="D23" s="12" t="s">
        <v>16</v>
      </c>
      <c r="E23" s="10"/>
      <c r="F23" s="10"/>
      <c r="G23" s="10"/>
      <c r="H23" s="10"/>
    </row>
    <row r="24" spans="1:8" ht="19.5" customHeight="1" x14ac:dyDescent="0.2">
      <c r="A24" s="8">
        <v>22</v>
      </c>
      <c r="B24" s="9" t="s">
        <v>78</v>
      </c>
      <c r="C24" s="8" t="s">
        <v>18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6">
        <v>23</v>
      </c>
      <c r="B25" s="7" t="s">
        <v>79</v>
      </c>
      <c r="C25" s="6" t="s">
        <v>20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8">
        <v>24</v>
      </c>
      <c r="B26" s="9" t="s">
        <v>80</v>
      </c>
      <c r="C26" s="8" t="s">
        <v>22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6">
        <v>25</v>
      </c>
      <c r="B27" s="7" t="s">
        <v>81</v>
      </c>
      <c r="C27" s="6" t="s">
        <v>24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8">
        <v>26</v>
      </c>
      <c r="B28" s="9" t="s">
        <v>82</v>
      </c>
      <c r="C28" s="8" t="s">
        <v>10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6">
        <v>27</v>
      </c>
      <c r="B29" s="7" t="s">
        <v>83</v>
      </c>
      <c r="C29" s="6" t="s">
        <v>13</v>
      </c>
      <c r="D29" s="6" t="s">
        <v>11</v>
      </c>
      <c r="E29" s="6"/>
      <c r="F29" s="6"/>
      <c r="G29" s="6"/>
      <c r="H29" s="6"/>
    </row>
    <row r="30" spans="1:8" ht="19.5" customHeight="1" x14ac:dyDescent="0.2">
      <c r="A30" s="10">
        <v>28</v>
      </c>
      <c r="B30" s="11" t="s">
        <v>84</v>
      </c>
      <c r="C30" s="10" t="s">
        <v>15</v>
      </c>
      <c r="D30" s="12" t="s">
        <v>16</v>
      </c>
      <c r="E30" s="10"/>
      <c r="F30" s="10"/>
      <c r="G30" s="10"/>
      <c r="H30" s="10"/>
    </row>
    <row r="31" spans="1:8" ht="19.5" customHeight="1" x14ac:dyDescent="0.2">
      <c r="A31" s="6">
        <v>29</v>
      </c>
      <c r="B31" s="7" t="s">
        <v>85</v>
      </c>
      <c r="C31" s="6" t="s">
        <v>18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8">
        <v>30</v>
      </c>
      <c r="B32" s="9" t="s">
        <v>86</v>
      </c>
      <c r="C32" s="8" t="s">
        <v>20</v>
      </c>
      <c r="D32" s="8" t="s">
        <v>11</v>
      </c>
      <c r="E32" s="8"/>
      <c r="F32" s="8"/>
      <c r="G32" s="8"/>
      <c r="H32" s="8"/>
    </row>
    <row r="33" spans="1:8" ht="21.75" customHeight="1" x14ac:dyDescent="0.2">
      <c r="A33" s="3" t="s">
        <v>49</v>
      </c>
      <c r="B33" s="3"/>
      <c r="C33" s="3"/>
      <c r="D33" s="13" t="s">
        <v>50</v>
      </c>
      <c r="E33" s="13" t="s">
        <v>51</v>
      </c>
      <c r="F33" s="13" t="s">
        <v>52</v>
      </c>
      <c r="G33" s="13" t="s">
        <v>53</v>
      </c>
      <c r="H33" s="13" t="s">
        <v>54</v>
      </c>
    </row>
    <row r="34" spans="1:8" ht="21.75" customHeight="1" x14ac:dyDescent="0.2">
      <c r="A34" s="2"/>
      <c r="B34" s="2"/>
      <c r="C34" s="2"/>
      <c r="D34" s="14">
        <f>COUNTIF(D3:D32,"On Duty")</f>
        <v>26</v>
      </c>
      <c r="E34" s="14">
        <f>COUNTA(E3:E32)</f>
        <v>0</v>
      </c>
      <c r="F34" s="14">
        <f>COUNTA(F3:F32)</f>
        <v>0</v>
      </c>
      <c r="G34" s="15">
        <f>SUM(G3:G32)</f>
        <v>0</v>
      </c>
      <c r="H34" s="15">
        <f>SUM(H3:H32)</f>
        <v>0</v>
      </c>
    </row>
    <row r="36" spans="1:8" ht="27.75" customHeight="1" x14ac:dyDescent="0.2">
      <c r="A36" s="1" t="s">
        <v>55</v>
      </c>
      <c r="B36" s="1"/>
      <c r="C36" s="1"/>
      <c r="D36" s="1"/>
      <c r="E36" s="1"/>
      <c r="F36" s="1"/>
      <c r="G36" s="1"/>
      <c r="H36" s="1"/>
    </row>
  </sheetData>
  <mergeCells count="4">
    <mergeCell ref="A1:H1"/>
    <mergeCell ref="A33:C33"/>
    <mergeCell ref="A34:C34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87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88</v>
      </c>
      <c r="C3" s="6" t="s">
        <v>22</v>
      </c>
      <c r="D3" s="6" t="s">
        <v>11</v>
      </c>
      <c r="E3" s="6"/>
      <c r="F3" s="6"/>
      <c r="G3" s="6"/>
      <c r="H3" s="6"/>
    </row>
    <row r="4" spans="1:8" ht="19.5" customHeight="1" x14ac:dyDescent="0.2">
      <c r="A4" s="8">
        <v>2</v>
      </c>
      <c r="B4" s="9" t="s">
        <v>89</v>
      </c>
      <c r="C4" s="8" t="s">
        <v>24</v>
      </c>
      <c r="D4" s="8" t="s">
        <v>11</v>
      </c>
      <c r="E4" s="8"/>
      <c r="F4" s="8"/>
      <c r="G4" s="8"/>
      <c r="H4" s="8"/>
    </row>
    <row r="5" spans="1:8" ht="19.5" customHeight="1" x14ac:dyDescent="0.2">
      <c r="A5" s="6">
        <v>3</v>
      </c>
      <c r="B5" s="7" t="s">
        <v>90</v>
      </c>
      <c r="C5" s="6" t="s">
        <v>10</v>
      </c>
      <c r="D5" s="6" t="s">
        <v>11</v>
      </c>
      <c r="E5" s="6"/>
      <c r="F5" s="6"/>
      <c r="G5" s="6"/>
      <c r="H5" s="6"/>
    </row>
    <row r="6" spans="1:8" ht="19.5" customHeight="1" x14ac:dyDescent="0.2">
      <c r="A6" s="8">
        <v>4</v>
      </c>
      <c r="B6" s="9" t="s">
        <v>91</v>
      </c>
      <c r="C6" s="8" t="s">
        <v>13</v>
      </c>
      <c r="D6" s="8" t="s">
        <v>11</v>
      </c>
      <c r="E6" s="8"/>
      <c r="F6" s="8"/>
      <c r="G6" s="8"/>
      <c r="H6" s="8"/>
    </row>
    <row r="7" spans="1:8" ht="19.5" customHeight="1" x14ac:dyDescent="0.2">
      <c r="A7" s="10">
        <v>5</v>
      </c>
      <c r="B7" s="11" t="s">
        <v>92</v>
      </c>
      <c r="C7" s="10" t="s">
        <v>15</v>
      </c>
      <c r="D7" s="12" t="s">
        <v>16</v>
      </c>
      <c r="E7" s="10"/>
      <c r="F7" s="10"/>
      <c r="G7" s="10"/>
      <c r="H7" s="10"/>
    </row>
    <row r="8" spans="1:8" ht="19.5" customHeight="1" x14ac:dyDescent="0.2">
      <c r="A8" s="8">
        <v>6</v>
      </c>
      <c r="B8" s="9" t="s">
        <v>93</v>
      </c>
      <c r="C8" s="8" t="s">
        <v>18</v>
      </c>
      <c r="D8" s="8" t="s">
        <v>11</v>
      </c>
      <c r="E8" s="8"/>
      <c r="F8" s="8"/>
      <c r="G8" s="8"/>
      <c r="H8" s="8"/>
    </row>
    <row r="9" spans="1:8" ht="19.5" customHeight="1" x14ac:dyDescent="0.2">
      <c r="A9" s="6">
        <v>7</v>
      </c>
      <c r="B9" s="7" t="s">
        <v>94</v>
      </c>
      <c r="C9" s="6" t="s">
        <v>20</v>
      </c>
      <c r="D9" s="6" t="s">
        <v>11</v>
      </c>
      <c r="E9" s="6"/>
      <c r="F9" s="6"/>
      <c r="G9" s="6"/>
      <c r="H9" s="6"/>
    </row>
    <row r="10" spans="1:8" ht="19.5" customHeight="1" x14ac:dyDescent="0.2">
      <c r="A10" s="8">
        <v>8</v>
      </c>
      <c r="B10" s="9" t="s">
        <v>95</v>
      </c>
      <c r="C10" s="8" t="s">
        <v>22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6">
        <v>9</v>
      </c>
      <c r="B11" s="7" t="s">
        <v>96</v>
      </c>
      <c r="C11" s="6" t="s">
        <v>24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8">
        <v>10</v>
      </c>
      <c r="B12" s="9" t="s">
        <v>97</v>
      </c>
      <c r="C12" s="8" t="s">
        <v>10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6">
        <v>11</v>
      </c>
      <c r="B13" s="7" t="s">
        <v>98</v>
      </c>
      <c r="C13" s="6" t="s">
        <v>13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10">
        <v>12</v>
      </c>
      <c r="B14" s="11" t="s">
        <v>99</v>
      </c>
      <c r="C14" s="10" t="s">
        <v>15</v>
      </c>
      <c r="D14" s="12" t="s">
        <v>16</v>
      </c>
      <c r="E14" s="10"/>
      <c r="F14" s="10"/>
      <c r="G14" s="10"/>
      <c r="H14" s="10"/>
    </row>
    <row r="15" spans="1:8" ht="19.5" customHeight="1" x14ac:dyDescent="0.2">
      <c r="A15" s="6">
        <v>13</v>
      </c>
      <c r="B15" s="7" t="s">
        <v>100</v>
      </c>
      <c r="C15" s="6" t="s">
        <v>18</v>
      </c>
      <c r="D15" s="6" t="s">
        <v>11</v>
      </c>
      <c r="E15" s="6"/>
      <c r="F15" s="6"/>
      <c r="G15" s="6"/>
      <c r="H15" s="6"/>
    </row>
    <row r="16" spans="1:8" ht="19.5" customHeight="1" x14ac:dyDescent="0.2">
      <c r="A16" s="8">
        <v>14</v>
      </c>
      <c r="B16" s="9" t="s">
        <v>101</v>
      </c>
      <c r="C16" s="8" t="s">
        <v>20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6">
        <v>15</v>
      </c>
      <c r="B17" s="7" t="s">
        <v>102</v>
      </c>
      <c r="C17" s="6" t="s">
        <v>22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8">
        <v>16</v>
      </c>
      <c r="B18" s="9" t="s">
        <v>103</v>
      </c>
      <c r="C18" s="8" t="s">
        <v>24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6">
        <v>17</v>
      </c>
      <c r="B19" s="7" t="s">
        <v>104</v>
      </c>
      <c r="C19" s="6" t="s">
        <v>10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8">
        <v>18</v>
      </c>
      <c r="B20" s="9" t="s">
        <v>105</v>
      </c>
      <c r="C20" s="8" t="s">
        <v>13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10">
        <v>19</v>
      </c>
      <c r="B21" s="11" t="s">
        <v>106</v>
      </c>
      <c r="C21" s="10" t="s">
        <v>15</v>
      </c>
      <c r="D21" s="12" t="s">
        <v>16</v>
      </c>
      <c r="E21" s="10"/>
      <c r="F21" s="10"/>
      <c r="G21" s="10"/>
      <c r="H21" s="10"/>
    </row>
    <row r="22" spans="1:8" ht="19.5" customHeight="1" x14ac:dyDescent="0.2">
      <c r="A22" s="8">
        <v>20</v>
      </c>
      <c r="B22" s="9" t="s">
        <v>107</v>
      </c>
      <c r="C22" s="8" t="s">
        <v>18</v>
      </c>
      <c r="D22" s="8" t="s">
        <v>11</v>
      </c>
      <c r="E22" s="8"/>
      <c r="F22" s="8"/>
      <c r="G22" s="8"/>
      <c r="H22" s="8"/>
    </row>
    <row r="23" spans="1:8" ht="19.5" customHeight="1" x14ac:dyDescent="0.2">
      <c r="A23" s="6">
        <v>21</v>
      </c>
      <c r="B23" s="7" t="s">
        <v>108</v>
      </c>
      <c r="C23" s="6" t="s">
        <v>20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8">
        <v>22</v>
      </c>
      <c r="B24" s="9" t="s">
        <v>109</v>
      </c>
      <c r="C24" s="8" t="s">
        <v>22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6">
        <v>23</v>
      </c>
      <c r="B25" s="7" t="s">
        <v>110</v>
      </c>
      <c r="C25" s="6" t="s">
        <v>24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8">
        <v>24</v>
      </c>
      <c r="B26" s="9" t="s">
        <v>111</v>
      </c>
      <c r="C26" s="8" t="s">
        <v>10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6">
        <v>25</v>
      </c>
      <c r="B27" s="7" t="s">
        <v>112</v>
      </c>
      <c r="C27" s="6" t="s">
        <v>13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10">
        <v>26</v>
      </c>
      <c r="B28" s="11" t="s">
        <v>113</v>
      </c>
      <c r="C28" s="10" t="s">
        <v>15</v>
      </c>
      <c r="D28" s="12" t="s">
        <v>16</v>
      </c>
      <c r="E28" s="10"/>
      <c r="F28" s="10"/>
      <c r="G28" s="10"/>
      <c r="H28" s="10"/>
    </row>
    <row r="29" spans="1:8" ht="19.5" customHeight="1" x14ac:dyDescent="0.2">
      <c r="A29" s="6">
        <v>27</v>
      </c>
      <c r="B29" s="7" t="s">
        <v>114</v>
      </c>
      <c r="C29" s="6" t="s">
        <v>18</v>
      </c>
      <c r="D29" s="6" t="s">
        <v>11</v>
      </c>
      <c r="E29" s="6"/>
      <c r="F29" s="6"/>
      <c r="G29" s="6"/>
      <c r="H29" s="6"/>
    </row>
    <row r="30" spans="1:8" ht="19.5" customHeight="1" x14ac:dyDescent="0.2">
      <c r="A30" s="8">
        <v>28</v>
      </c>
      <c r="B30" s="9" t="s">
        <v>115</v>
      </c>
      <c r="C30" s="8" t="s">
        <v>20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6">
        <v>29</v>
      </c>
      <c r="B31" s="7" t="s">
        <v>116</v>
      </c>
      <c r="C31" s="6" t="s">
        <v>22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8">
        <v>30</v>
      </c>
      <c r="B32" s="9" t="s">
        <v>117</v>
      </c>
      <c r="C32" s="8" t="s">
        <v>24</v>
      </c>
      <c r="D32" s="8" t="s">
        <v>11</v>
      </c>
      <c r="E32" s="8"/>
      <c r="F32" s="8"/>
      <c r="G32" s="8"/>
      <c r="H32" s="8"/>
    </row>
    <row r="33" spans="1:8" ht="19.5" customHeight="1" x14ac:dyDescent="0.2">
      <c r="A33" s="6">
        <v>31</v>
      </c>
      <c r="B33" s="7" t="s">
        <v>118</v>
      </c>
      <c r="C33" s="6" t="s">
        <v>10</v>
      </c>
      <c r="D33" s="6" t="s">
        <v>11</v>
      </c>
      <c r="E33" s="6"/>
      <c r="F33" s="6"/>
      <c r="G33" s="6"/>
      <c r="H33" s="6"/>
    </row>
    <row r="34" spans="1:8" ht="21.75" customHeight="1" x14ac:dyDescent="0.2">
      <c r="A34" s="3" t="s">
        <v>49</v>
      </c>
      <c r="B34" s="3"/>
      <c r="C34" s="3"/>
      <c r="D34" s="13" t="s">
        <v>50</v>
      </c>
      <c r="E34" s="13" t="s">
        <v>51</v>
      </c>
      <c r="F34" s="13" t="s">
        <v>52</v>
      </c>
      <c r="G34" s="13" t="s">
        <v>53</v>
      </c>
      <c r="H34" s="13" t="s">
        <v>54</v>
      </c>
    </row>
    <row r="35" spans="1:8" ht="21.75" customHeight="1" x14ac:dyDescent="0.2">
      <c r="A35" s="2"/>
      <c r="B35" s="2"/>
      <c r="C35" s="2"/>
      <c r="D35" s="14">
        <f>COUNTIF(D3:D33,"On Duty")</f>
        <v>27</v>
      </c>
      <c r="E35" s="14">
        <f>COUNTA(E3:E33)</f>
        <v>0</v>
      </c>
      <c r="F35" s="14">
        <f>COUNTA(F3:F33)</f>
        <v>0</v>
      </c>
      <c r="G35" s="15">
        <f>SUM(G3:G33)</f>
        <v>0</v>
      </c>
      <c r="H35" s="15">
        <f>SUM(H3:H33)</f>
        <v>0</v>
      </c>
    </row>
    <row r="37" spans="1:8" ht="27.75" customHeight="1" x14ac:dyDescent="0.2">
      <c r="A37" s="1" t="s">
        <v>55</v>
      </c>
      <c r="B37" s="1"/>
      <c r="C37" s="1"/>
      <c r="D37" s="1"/>
      <c r="E37" s="1"/>
      <c r="F37" s="1"/>
      <c r="G37" s="1"/>
      <c r="H37" s="1"/>
    </row>
  </sheetData>
  <mergeCells count="4">
    <mergeCell ref="A1:H1"/>
    <mergeCell ref="A34:C34"/>
    <mergeCell ref="A35:C35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119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120</v>
      </c>
      <c r="C3" s="6" t="s">
        <v>13</v>
      </c>
      <c r="D3" s="6" t="s">
        <v>11</v>
      </c>
      <c r="E3" s="6"/>
      <c r="F3" s="6"/>
      <c r="G3" s="6"/>
      <c r="H3" s="6"/>
    </row>
    <row r="4" spans="1:8" ht="19.5" customHeight="1" x14ac:dyDescent="0.2">
      <c r="A4" s="10">
        <v>2</v>
      </c>
      <c r="B4" s="11" t="s">
        <v>121</v>
      </c>
      <c r="C4" s="10" t="s">
        <v>15</v>
      </c>
      <c r="D4" s="12" t="s">
        <v>16</v>
      </c>
      <c r="E4" s="10"/>
      <c r="F4" s="10"/>
      <c r="G4" s="10"/>
      <c r="H4" s="10"/>
    </row>
    <row r="5" spans="1:8" ht="19.5" customHeight="1" x14ac:dyDescent="0.2">
      <c r="A5" s="6">
        <v>3</v>
      </c>
      <c r="B5" s="7" t="s">
        <v>122</v>
      </c>
      <c r="C5" s="6" t="s">
        <v>18</v>
      </c>
      <c r="D5" s="6" t="s">
        <v>11</v>
      </c>
      <c r="E5" s="6"/>
      <c r="F5" s="6"/>
      <c r="G5" s="6"/>
      <c r="H5" s="6"/>
    </row>
    <row r="6" spans="1:8" ht="19.5" customHeight="1" x14ac:dyDescent="0.2">
      <c r="A6" s="8">
        <v>4</v>
      </c>
      <c r="B6" s="9" t="s">
        <v>123</v>
      </c>
      <c r="C6" s="8" t="s">
        <v>20</v>
      </c>
      <c r="D6" s="8" t="s">
        <v>11</v>
      </c>
      <c r="E6" s="8"/>
      <c r="F6" s="8"/>
      <c r="G6" s="8"/>
      <c r="H6" s="8"/>
    </row>
    <row r="7" spans="1:8" ht="19.5" customHeight="1" x14ac:dyDescent="0.2">
      <c r="A7" s="6">
        <v>5</v>
      </c>
      <c r="B7" s="7" t="s">
        <v>124</v>
      </c>
      <c r="C7" s="6" t="s">
        <v>22</v>
      </c>
      <c r="D7" s="6" t="s">
        <v>11</v>
      </c>
      <c r="E7" s="6"/>
      <c r="F7" s="6"/>
      <c r="G7" s="6"/>
      <c r="H7" s="6"/>
    </row>
    <row r="8" spans="1:8" ht="19.5" customHeight="1" x14ac:dyDescent="0.2">
      <c r="A8" s="8">
        <v>6</v>
      </c>
      <c r="B8" s="9" t="s">
        <v>125</v>
      </c>
      <c r="C8" s="8" t="s">
        <v>24</v>
      </c>
      <c r="D8" s="8" t="s">
        <v>11</v>
      </c>
      <c r="E8" s="8"/>
      <c r="F8" s="8"/>
      <c r="G8" s="8"/>
      <c r="H8" s="8"/>
    </row>
    <row r="9" spans="1:8" ht="19.5" customHeight="1" x14ac:dyDescent="0.2">
      <c r="A9" s="6">
        <v>7</v>
      </c>
      <c r="B9" s="7" t="s">
        <v>126</v>
      </c>
      <c r="C9" s="6" t="s">
        <v>10</v>
      </c>
      <c r="D9" s="6" t="s">
        <v>11</v>
      </c>
      <c r="E9" s="6"/>
      <c r="F9" s="6"/>
      <c r="G9" s="6"/>
      <c r="H9" s="6"/>
    </row>
    <row r="10" spans="1:8" ht="19.5" customHeight="1" x14ac:dyDescent="0.2">
      <c r="A10" s="8">
        <v>8</v>
      </c>
      <c r="B10" s="9" t="s">
        <v>127</v>
      </c>
      <c r="C10" s="8" t="s">
        <v>13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10">
        <v>9</v>
      </c>
      <c r="B11" s="11" t="s">
        <v>128</v>
      </c>
      <c r="C11" s="10" t="s">
        <v>15</v>
      </c>
      <c r="D11" s="12" t="s">
        <v>16</v>
      </c>
      <c r="E11" s="10"/>
      <c r="F11" s="10"/>
      <c r="G11" s="10"/>
      <c r="H11" s="10"/>
    </row>
    <row r="12" spans="1:8" ht="19.5" customHeight="1" x14ac:dyDescent="0.2">
      <c r="A12" s="8">
        <v>10</v>
      </c>
      <c r="B12" s="9" t="s">
        <v>129</v>
      </c>
      <c r="C12" s="8" t="s">
        <v>18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6">
        <v>11</v>
      </c>
      <c r="B13" s="7" t="s">
        <v>130</v>
      </c>
      <c r="C13" s="6" t="s">
        <v>20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8">
        <v>12</v>
      </c>
      <c r="B14" s="9" t="s">
        <v>131</v>
      </c>
      <c r="C14" s="8" t="s">
        <v>22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6">
        <v>13</v>
      </c>
      <c r="B15" s="7" t="s">
        <v>132</v>
      </c>
      <c r="C15" s="6" t="s">
        <v>24</v>
      </c>
      <c r="D15" s="6" t="s">
        <v>11</v>
      </c>
      <c r="E15" s="6"/>
      <c r="F15" s="6"/>
      <c r="G15" s="6"/>
      <c r="H15" s="6"/>
    </row>
    <row r="16" spans="1:8" ht="19.5" customHeight="1" x14ac:dyDescent="0.2">
      <c r="A16" s="8">
        <v>14</v>
      </c>
      <c r="B16" s="9" t="s">
        <v>133</v>
      </c>
      <c r="C16" s="8" t="s">
        <v>10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6">
        <v>15</v>
      </c>
      <c r="B17" s="7" t="s">
        <v>134</v>
      </c>
      <c r="C17" s="6" t="s">
        <v>13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10">
        <v>16</v>
      </c>
      <c r="B18" s="11" t="s">
        <v>135</v>
      </c>
      <c r="C18" s="10" t="s">
        <v>15</v>
      </c>
      <c r="D18" s="12" t="s">
        <v>16</v>
      </c>
      <c r="E18" s="10"/>
      <c r="F18" s="10"/>
      <c r="G18" s="10"/>
      <c r="H18" s="10"/>
    </row>
    <row r="19" spans="1:8" ht="19.5" customHeight="1" x14ac:dyDescent="0.2">
      <c r="A19" s="6">
        <v>17</v>
      </c>
      <c r="B19" s="7" t="s">
        <v>136</v>
      </c>
      <c r="C19" s="6" t="s">
        <v>18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8">
        <v>18</v>
      </c>
      <c r="B20" s="9" t="s">
        <v>137</v>
      </c>
      <c r="C20" s="8" t="s">
        <v>20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6">
        <v>19</v>
      </c>
      <c r="B21" s="7" t="s">
        <v>138</v>
      </c>
      <c r="C21" s="6" t="s">
        <v>22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8">
        <v>20</v>
      </c>
      <c r="B22" s="9" t="s">
        <v>139</v>
      </c>
      <c r="C22" s="8" t="s">
        <v>24</v>
      </c>
      <c r="D22" s="8" t="s">
        <v>11</v>
      </c>
      <c r="E22" s="8"/>
      <c r="F22" s="8"/>
      <c r="G22" s="8"/>
      <c r="H22" s="8"/>
    </row>
    <row r="23" spans="1:8" ht="19.5" customHeight="1" x14ac:dyDescent="0.2">
      <c r="A23" s="6">
        <v>21</v>
      </c>
      <c r="B23" s="7" t="s">
        <v>140</v>
      </c>
      <c r="C23" s="6" t="s">
        <v>10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8">
        <v>22</v>
      </c>
      <c r="B24" s="9" t="s">
        <v>141</v>
      </c>
      <c r="C24" s="8" t="s">
        <v>13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10">
        <v>23</v>
      </c>
      <c r="B25" s="11" t="s">
        <v>142</v>
      </c>
      <c r="C25" s="10" t="s">
        <v>15</v>
      </c>
      <c r="D25" s="12" t="s">
        <v>16</v>
      </c>
      <c r="E25" s="10"/>
      <c r="F25" s="10"/>
      <c r="G25" s="10"/>
      <c r="H25" s="10"/>
    </row>
    <row r="26" spans="1:8" ht="19.5" customHeight="1" x14ac:dyDescent="0.2">
      <c r="A26" s="8">
        <v>24</v>
      </c>
      <c r="B26" s="9" t="s">
        <v>143</v>
      </c>
      <c r="C26" s="8" t="s">
        <v>18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6">
        <v>25</v>
      </c>
      <c r="B27" s="7" t="s">
        <v>144</v>
      </c>
      <c r="C27" s="6" t="s">
        <v>20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8">
        <v>26</v>
      </c>
      <c r="B28" s="9" t="s">
        <v>145</v>
      </c>
      <c r="C28" s="8" t="s">
        <v>22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6">
        <v>27</v>
      </c>
      <c r="B29" s="7" t="s">
        <v>146</v>
      </c>
      <c r="C29" s="6" t="s">
        <v>24</v>
      </c>
      <c r="D29" s="6" t="s">
        <v>11</v>
      </c>
      <c r="E29" s="6"/>
      <c r="F29" s="6"/>
      <c r="G29" s="6"/>
      <c r="H29" s="6"/>
    </row>
    <row r="30" spans="1:8" ht="19.5" customHeight="1" x14ac:dyDescent="0.2">
      <c r="A30" s="8">
        <v>28</v>
      </c>
      <c r="B30" s="9" t="s">
        <v>147</v>
      </c>
      <c r="C30" s="8" t="s">
        <v>10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6">
        <v>29</v>
      </c>
      <c r="B31" s="7" t="s">
        <v>148</v>
      </c>
      <c r="C31" s="6" t="s">
        <v>13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10">
        <v>30</v>
      </c>
      <c r="B32" s="11" t="s">
        <v>149</v>
      </c>
      <c r="C32" s="10" t="s">
        <v>15</v>
      </c>
      <c r="D32" s="12" t="s">
        <v>16</v>
      </c>
      <c r="E32" s="10"/>
      <c r="F32" s="10"/>
      <c r="G32" s="10"/>
      <c r="H32" s="10"/>
    </row>
    <row r="33" spans="1:8" ht="19.5" customHeight="1" x14ac:dyDescent="0.2">
      <c r="A33" s="6">
        <v>31</v>
      </c>
      <c r="B33" s="7" t="s">
        <v>150</v>
      </c>
      <c r="C33" s="6" t="s">
        <v>18</v>
      </c>
      <c r="D33" s="6" t="s">
        <v>11</v>
      </c>
      <c r="E33" s="6"/>
      <c r="F33" s="6"/>
      <c r="G33" s="6"/>
      <c r="H33" s="6"/>
    </row>
    <row r="34" spans="1:8" ht="21.75" customHeight="1" x14ac:dyDescent="0.2">
      <c r="A34" s="3" t="s">
        <v>49</v>
      </c>
      <c r="B34" s="3"/>
      <c r="C34" s="3"/>
      <c r="D34" s="13" t="s">
        <v>50</v>
      </c>
      <c r="E34" s="13" t="s">
        <v>51</v>
      </c>
      <c r="F34" s="13" t="s">
        <v>52</v>
      </c>
      <c r="G34" s="13" t="s">
        <v>53</v>
      </c>
      <c r="H34" s="13" t="s">
        <v>54</v>
      </c>
    </row>
    <row r="35" spans="1:8" ht="21.75" customHeight="1" x14ac:dyDescent="0.2">
      <c r="A35" s="2"/>
      <c r="B35" s="2"/>
      <c r="C35" s="2"/>
      <c r="D35" s="14">
        <f>COUNTIF(D3:D33,"On Duty")</f>
        <v>26</v>
      </c>
      <c r="E35" s="14">
        <f>COUNTA(E3:E33)</f>
        <v>0</v>
      </c>
      <c r="F35" s="14">
        <f>COUNTA(F3:F33)</f>
        <v>0</v>
      </c>
      <c r="G35" s="15">
        <f>SUM(G3:G33)</f>
        <v>0</v>
      </c>
      <c r="H35" s="15">
        <f>SUM(H3:H33)</f>
        <v>0</v>
      </c>
    </row>
    <row r="37" spans="1:8" ht="27.75" customHeight="1" x14ac:dyDescent="0.2">
      <c r="A37" s="1" t="s">
        <v>55</v>
      </c>
      <c r="B37" s="1"/>
      <c r="C37" s="1"/>
      <c r="D37" s="1"/>
      <c r="E37" s="1"/>
      <c r="F37" s="1"/>
      <c r="G37" s="1"/>
      <c r="H37" s="1"/>
    </row>
  </sheetData>
  <mergeCells count="4">
    <mergeCell ref="A1:H1"/>
    <mergeCell ref="A34:C34"/>
    <mergeCell ref="A35:C35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151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152</v>
      </c>
      <c r="C3" s="6" t="s">
        <v>20</v>
      </c>
      <c r="D3" s="6" t="s">
        <v>11</v>
      </c>
      <c r="E3" s="6"/>
      <c r="F3" s="6"/>
      <c r="G3" s="6"/>
      <c r="H3" s="6"/>
    </row>
    <row r="4" spans="1:8" ht="19.5" customHeight="1" x14ac:dyDescent="0.2">
      <c r="A4" s="8">
        <v>2</v>
      </c>
      <c r="B4" s="9" t="s">
        <v>153</v>
      </c>
      <c r="C4" s="8" t="s">
        <v>22</v>
      </c>
      <c r="D4" s="8" t="s">
        <v>11</v>
      </c>
      <c r="E4" s="8"/>
      <c r="F4" s="8"/>
      <c r="G4" s="8"/>
      <c r="H4" s="8"/>
    </row>
    <row r="5" spans="1:8" ht="19.5" customHeight="1" x14ac:dyDescent="0.2">
      <c r="A5" s="6">
        <v>3</v>
      </c>
      <c r="B5" s="7" t="s">
        <v>154</v>
      </c>
      <c r="C5" s="6" t="s">
        <v>24</v>
      </c>
      <c r="D5" s="6" t="s">
        <v>11</v>
      </c>
      <c r="E5" s="6"/>
      <c r="F5" s="6"/>
      <c r="G5" s="6"/>
      <c r="H5" s="6"/>
    </row>
    <row r="6" spans="1:8" ht="19.5" customHeight="1" x14ac:dyDescent="0.2">
      <c r="A6" s="8">
        <v>4</v>
      </c>
      <c r="B6" s="9" t="s">
        <v>155</v>
      </c>
      <c r="C6" s="8" t="s">
        <v>10</v>
      </c>
      <c r="D6" s="8" t="s">
        <v>11</v>
      </c>
      <c r="E6" s="8"/>
      <c r="F6" s="8"/>
      <c r="G6" s="8"/>
      <c r="H6" s="8"/>
    </row>
    <row r="7" spans="1:8" ht="19.5" customHeight="1" x14ac:dyDescent="0.2">
      <c r="A7" s="6">
        <v>5</v>
      </c>
      <c r="B7" s="7" t="s">
        <v>156</v>
      </c>
      <c r="C7" s="6" t="s">
        <v>13</v>
      </c>
      <c r="D7" s="6" t="s">
        <v>11</v>
      </c>
      <c r="E7" s="6"/>
      <c r="F7" s="6"/>
      <c r="G7" s="6"/>
      <c r="H7" s="6"/>
    </row>
    <row r="8" spans="1:8" ht="19.5" customHeight="1" x14ac:dyDescent="0.2">
      <c r="A8" s="10">
        <v>6</v>
      </c>
      <c r="B8" s="11" t="s">
        <v>157</v>
      </c>
      <c r="C8" s="10" t="s">
        <v>15</v>
      </c>
      <c r="D8" s="12" t="s">
        <v>16</v>
      </c>
      <c r="E8" s="10"/>
      <c r="F8" s="10"/>
      <c r="G8" s="10"/>
      <c r="H8" s="10"/>
    </row>
    <row r="9" spans="1:8" ht="19.5" customHeight="1" x14ac:dyDescent="0.2">
      <c r="A9" s="6">
        <v>7</v>
      </c>
      <c r="B9" s="7" t="s">
        <v>158</v>
      </c>
      <c r="C9" s="6" t="s">
        <v>18</v>
      </c>
      <c r="D9" s="6" t="s">
        <v>11</v>
      </c>
      <c r="E9" s="6"/>
      <c r="F9" s="6"/>
      <c r="G9" s="6"/>
      <c r="H9" s="6"/>
    </row>
    <row r="10" spans="1:8" ht="19.5" customHeight="1" x14ac:dyDescent="0.2">
      <c r="A10" s="8">
        <v>8</v>
      </c>
      <c r="B10" s="9" t="s">
        <v>159</v>
      </c>
      <c r="C10" s="8" t="s">
        <v>20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6">
        <v>9</v>
      </c>
      <c r="B11" s="7" t="s">
        <v>160</v>
      </c>
      <c r="C11" s="6" t="s">
        <v>22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8">
        <v>10</v>
      </c>
      <c r="B12" s="9" t="s">
        <v>161</v>
      </c>
      <c r="C12" s="8" t="s">
        <v>24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6">
        <v>11</v>
      </c>
      <c r="B13" s="7" t="s">
        <v>162</v>
      </c>
      <c r="C13" s="6" t="s">
        <v>10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8">
        <v>12</v>
      </c>
      <c r="B14" s="9" t="s">
        <v>163</v>
      </c>
      <c r="C14" s="8" t="s">
        <v>13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10">
        <v>13</v>
      </c>
      <c r="B15" s="11" t="s">
        <v>164</v>
      </c>
      <c r="C15" s="10" t="s">
        <v>15</v>
      </c>
      <c r="D15" s="12" t="s">
        <v>16</v>
      </c>
      <c r="E15" s="10"/>
      <c r="F15" s="10"/>
      <c r="G15" s="10"/>
      <c r="H15" s="10"/>
    </row>
    <row r="16" spans="1:8" ht="19.5" customHeight="1" x14ac:dyDescent="0.2">
      <c r="A16" s="8">
        <v>14</v>
      </c>
      <c r="B16" s="9" t="s">
        <v>165</v>
      </c>
      <c r="C16" s="8" t="s">
        <v>18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6">
        <v>15</v>
      </c>
      <c r="B17" s="7" t="s">
        <v>166</v>
      </c>
      <c r="C17" s="6" t="s">
        <v>20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8">
        <v>16</v>
      </c>
      <c r="B18" s="9" t="s">
        <v>167</v>
      </c>
      <c r="C18" s="8" t="s">
        <v>22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6">
        <v>17</v>
      </c>
      <c r="B19" s="7" t="s">
        <v>168</v>
      </c>
      <c r="C19" s="6" t="s">
        <v>24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8">
        <v>18</v>
      </c>
      <c r="B20" s="9" t="s">
        <v>169</v>
      </c>
      <c r="C20" s="8" t="s">
        <v>10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6">
        <v>19</v>
      </c>
      <c r="B21" s="7" t="s">
        <v>170</v>
      </c>
      <c r="C21" s="6" t="s">
        <v>13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10">
        <v>20</v>
      </c>
      <c r="B22" s="11" t="s">
        <v>171</v>
      </c>
      <c r="C22" s="10" t="s">
        <v>15</v>
      </c>
      <c r="D22" s="12" t="s">
        <v>16</v>
      </c>
      <c r="E22" s="10"/>
      <c r="F22" s="10"/>
      <c r="G22" s="10"/>
      <c r="H22" s="10"/>
    </row>
    <row r="23" spans="1:8" ht="19.5" customHeight="1" x14ac:dyDescent="0.2">
      <c r="A23" s="6">
        <v>21</v>
      </c>
      <c r="B23" s="7" t="s">
        <v>172</v>
      </c>
      <c r="C23" s="6" t="s">
        <v>18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8">
        <v>22</v>
      </c>
      <c r="B24" s="9" t="s">
        <v>173</v>
      </c>
      <c r="C24" s="8" t="s">
        <v>20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6">
        <v>23</v>
      </c>
      <c r="B25" s="7" t="s">
        <v>174</v>
      </c>
      <c r="C25" s="6" t="s">
        <v>22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8">
        <v>24</v>
      </c>
      <c r="B26" s="9" t="s">
        <v>175</v>
      </c>
      <c r="C26" s="8" t="s">
        <v>24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6">
        <v>25</v>
      </c>
      <c r="B27" s="7" t="s">
        <v>176</v>
      </c>
      <c r="C27" s="6" t="s">
        <v>10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8">
        <v>26</v>
      </c>
      <c r="B28" s="9" t="s">
        <v>177</v>
      </c>
      <c r="C28" s="8" t="s">
        <v>13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10">
        <v>27</v>
      </c>
      <c r="B29" s="11" t="s">
        <v>178</v>
      </c>
      <c r="C29" s="10" t="s">
        <v>15</v>
      </c>
      <c r="D29" s="12" t="s">
        <v>16</v>
      </c>
      <c r="E29" s="10"/>
      <c r="F29" s="10"/>
      <c r="G29" s="10"/>
      <c r="H29" s="10"/>
    </row>
    <row r="30" spans="1:8" ht="19.5" customHeight="1" x14ac:dyDescent="0.2">
      <c r="A30" s="8">
        <v>28</v>
      </c>
      <c r="B30" s="9" t="s">
        <v>179</v>
      </c>
      <c r="C30" s="8" t="s">
        <v>18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6">
        <v>29</v>
      </c>
      <c r="B31" s="7" t="s">
        <v>180</v>
      </c>
      <c r="C31" s="6" t="s">
        <v>20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8">
        <v>30</v>
      </c>
      <c r="B32" s="9" t="s">
        <v>181</v>
      </c>
      <c r="C32" s="8" t="s">
        <v>22</v>
      </c>
      <c r="D32" s="8" t="s">
        <v>11</v>
      </c>
      <c r="E32" s="8"/>
      <c r="F32" s="8"/>
      <c r="G32" s="8"/>
      <c r="H32" s="8"/>
    </row>
    <row r="33" spans="1:8" ht="21.75" customHeight="1" x14ac:dyDescent="0.2">
      <c r="A33" s="3" t="s">
        <v>49</v>
      </c>
      <c r="B33" s="3"/>
      <c r="C33" s="3"/>
      <c r="D33" s="13" t="s">
        <v>50</v>
      </c>
      <c r="E33" s="13" t="s">
        <v>51</v>
      </c>
      <c r="F33" s="13" t="s">
        <v>52</v>
      </c>
      <c r="G33" s="13" t="s">
        <v>53</v>
      </c>
      <c r="H33" s="13" t="s">
        <v>54</v>
      </c>
    </row>
    <row r="34" spans="1:8" ht="21.75" customHeight="1" x14ac:dyDescent="0.2">
      <c r="A34" s="2"/>
      <c r="B34" s="2"/>
      <c r="C34" s="2"/>
      <c r="D34" s="14">
        <f>COUNTIF(D3:D32,"On Duty")</f>
        <v>26</v>
      </c>
      <c r="E34" s="14">
        <f>COUNTA(E3:E32)</f>
        <v>0</v>
      </c>
      <c r="F34" s="14">
        <f>COUNTA(F3:F32)</f>
        <v>0</v>
      </c>
      <c r="G34" s="15">
        <f>SUM(G3:G32)</f>
        <v>0</v>
      </c>
      <c r="H34" s="15">
        <f>SUM(H3:H32)</f>
        <v>0</v>
      </c>
    </row>
    <row r="36" spans="1:8" ht="27.75" customHeight="1" x14ac:dyDescent="0.2">
      <c r="A36" s="1" t="s">
        <v>55</v>
      </c>
      <c r="B36" s="1"/>
      <c r="C36" s="1"/>
      <c r="D36" s="1"/>
      <c r="E36" s="1"/>
      <c r="F36" s="1"/>
      <c r="G36" s="1"/>
      <c r="H36" s="1"/>
    </row>
  </sheetData>
  <mergeCells count="4">
    <mergeCell ref="A1:H1"/>
    <mergeCell ref="A33:C33"/>
    <mergeCell ref="A34:C34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182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183</v>
      </c>
      <c r="C3" s="6" t="s">
        <v>24</v>
      </c>
      <c r="D3" s="6" t="s">
        <v>11</v>
      </c>
      <c r="E3" s="6"/>
      <c r="F3" s="6"/>
      <c r="G3" s="6"/>
      <c r="H3" s="6"/>
    </row>
    <row r="4" spans="1:8" ht="19.5" customHeight="1" x14ac:dyDescent="0.2">
      <c r="A4" s="8">
        <v>2</v>
      </c>
      <c r="B4" s="9" t="s">
        <v>184</v>
      </c>
      <c r="C4" s="8" t="s">
        <v>10</v>
      </c>
      <c r="D4" s="8" t="s">
        <v>11</v>
      </c>
      <c r="E4" s="8"/>
      <c r="F4" s="8"/>
      <c r="G4" s="8"/>
      <c r="H4" s="8"/>
    </row>
    <row r="5" spans="1:8" ht="19.5" customHeight="1" x14ac:dyDescent="0.2">
      <c r="A5" s="6">
        <v>3</v>
      </c>
      <c r="B5" s="7" t="s">
        <v>185</v>
      </c>
      <c r="C5" s="6" t="s">
        <v>13</v>
      </c>
      <c r="D5" s="6" t="s">
        <v>11</v>
      </c>
      <c r="E5" s="6"/>
      <c r="F5" s="6"/>
      <c r="G5" s="6"/>
      <c r="H5" s="6"/>
    </row>
    <row r="6" spans="1:8" ht="19.5" customHeight="1" x14ac:dyDescent="0.2">
      <c r="A6" s="10">
        <v>4</v>
      </c>
      <c r="B6" s="11" t="s">
        <v>186</v>
      </c>
      <c r="C6" s="10" t="s">
        <v>15</v>
      </c>
      <c r="D6" s="12" t="s">
        <v>16</v>
      </c>
      <c r="E6" s="10"/>
      <c r="F6" s="10"/>
      <c r="G6" s="10"/>
      <c r="H6" s="10"/>
    </row>
    <row r="7" spans="1:8" ht="19.5" customHeight="1" x14ac:dyDescent="0.2">
      <c r="A7" s="6">
        <v>5</v>
      </c>
      <c r="B7" s="7" t="s">
        <v>187</v>
      </c>
      <c r="C7" s="6" t="s">
        <v>18</v>
      </c>
      <c r="D7" s="6" t="s">
        <v>11</v>
      </c>
      <c r="E7" s="6"/>
      <c r="F7" s="6"/>
      <c r="G7" s="6"/>
      <c r="H7" s="6"/>
    </row>
    <row r="8" spans="1:8" ht="19.5" customHeight="1" x14ac:dyDescent="0.2">
      <c r="A8" s="8">
        <v>6</v>
      </c>
      <c r="B8" s="9" t="s">
        <v>188</v>
      </c>
      <c r="C8" s="8" t="s">
        <v>20</v>
      </c>
      <c r="D8" s="8" t="s">
        <v>11</v>
      </c>
      <c r="E8" s="8"/>
      <c r="F8" s="8"/>
      <c r="G8" s="8"/>
      <c r="H8" s="8"/>
    </row>
    <row r="9" spans="1:8" ht="19.5" customHeight="1" x14ac:dyDescent="0.2">
      <c r="A9" s="6">
        <v>7</v>
      </c>
      <c r="B9" s="7" t="s">
        <v>189</v>
      </c>
      <c r="C9" s="6" t="s">
        <v>22</v>
      </c>
      <c r="D9" s="6" t="s">
        <v>11</v>
      </c>
      <c r="E9" s="6"/>
      <c r="F9" s="6"/>
      <c r="G9" s="6"/>
      <c r="H9" s="6"/>
    </row>
    <row r="10" spans="1:8" ht="19.5" customHeight="1" x14ac:dyDescent="0.2">
      <c r="A10" s="8">
        <v>8</v>
      </c>
      <c r="B10" s="9" t="s">
        <v>190</v>
      </c>
      <c r="C10" s="8" t="s">
        <v>24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6">
        <v>9</v>
      </c>
      <c r="B11" s="7" t="s">
        <v>191</v>
      </c>
      <c r="C11" s="6" t="s">
        <v>10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8">
        <v>10</v>
      </c>
      <c r="B12" s="9" t="s">
        <v>192</v>
      </c>
      <c r="C12" s="8" t="s">
        <v>13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10">
        <v>11</v>
      </c>
      <c r="B13" s="11" t="s">
        <v>193</v>
      </c>
      <c r="C13" s="10" t="s">
        <v>15</v>
      </c>
      <c r="D13" s="12" t="s">
        <v>16</v>
      </c>
      <c r="E13" s="10"/>
      <c r="F13" s="10"/>
      <c r="G13" s="10"/>
      <c r="H13" s="10"/>
    </row>
    <row r="14" spans="1:8" ht="19.5" customHeight="1" x14ac:dyDescent="0.2">
      <c r="A14" s="8">
        <v>12</v>
      </c>
      <c r="B14" s="9" t="s">
        <v>194</v>
      </c>
      <c r="C14" s="8" t="s">
        <v>18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6">
        <v>13</v>
      </c>
      <c r="B15" s="7" t="s">
        <v>195</v>
      </c>
      <c r="C15" s="6" t="s">
        <v>20</v>
      </c>
      <c r="D15" s="6" t="s">
        <v>11</v>
      </c>
      <c r="E15" s="6"/>
      <c r="F15" s="6"/>
      <c r="G15" s="6"/>
      <c r="H15" s="6"/>
    </row>
    <row r="16" spans="1:8" ht="19.5" customHeight="1" x14ac:dyDescent="0.2">
      <c r="A16" s="8">
        <v>14</v>
      </c>
      <c r="B16" s="9" t="s">
        <v>196</v>
      </c>
      <c r="C16" s="8" t="s">
        <v>22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6">
        <v>15</v>
      </c>
      <c r="B17" s="7" t="s">
        <v>197</v>
      </c>
      <c r="C17" s="6" t="s">
        <v>24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8">
        <v>16</v>
      </c>
      <c r="B18" s="9" t="s">
        <v>198</v>
      </c>
      <c r="C18" s="8" t="s">
        <v>10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6">
        <v>17</v>
      </c>
      <c r="B19" s="7" t="s">
        <v>199</v>
      </c>
      <c r="C19" s="6" t="s">
        <v>13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10">
        <v>18</v>
      </c>
      <c r="B20" s="11" t="s">
        <v>200</v>
      </c>
      <c r="C20" s="10" t="s">
        <v>15</v>
      </c>
      <c r="D20" s="12" t="s">
        <v>16</v>
      </c>
      <c r="E20" s="10"/>
      <c r="F20" s="10"/>
      <c r="G20" s="10"/>
      <c r="H20" s="10"/>
    </row>
    <row r="21" spans="1:8" ht="19.5" customHeight="1" x14ac:dyDescent="0.2">
      <c r="A21" s="6">
        <v>19</v>
      </c>
      <c r="B21" s="7" t="s">
        <v>201</v>
      </c>
      <c r="C21" s="6" t="s">
        <v>18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8">
        <v>20</v>
      </c>
      <c r="B22" s="9" t="s">
        <v>202</v>
      </c>
      <c r="C22" s="8" t="s">
        <v>20</v>
      </c>
      <c r="D22" s="8" t="s">
        <v>11</v>
      </c>
      <c r="E22" s="8"/>
      <c r="F22" s="8"/>
      <c r="G22" s="8"/>
      <c r="H22" s="8"/>
    </row>
    <row r="23" spans="1:8" ht="19.5" customHeight="1" x14ac:dyDescent="0.2">
      <c r="A23" s="6">
        <v>21</v>
      </c>
      <c r="B23" s="7" t="s">
        <v>203</v>
      </c>
      <c r="C23" s="6" t="s">
        <v>22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8">
        <v>22</v>
      </c>
      <c r="B24" s="9" t="s">
        <v>204</v>
      </c>
      <c r="C24" s="8" t="s">
        <v>24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6">
        <v>23</v>
      </c>
      <c r="B25" s="7" t="s">
        <v>205</v>
      </c>
      <c r="C25" s="6" t="s">
        <v>10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8">
        <v>24</v>
      </c>
      <c r="B26" s="9" t="s">
        <v>206</v>
      </c>
      <c r="C26" s="8" t="s">
        <v>13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10">
        <v>25</v>
      </c>
      <c r="B27" s="11" t="s">
        <v>207</v>
      </c>
      <c r="C27" s="10" t="s">
        <v>15</v>
      </c>
      <c r="D27" s="12" t="s">
        <v>16</v>
      </c>
      <c r="E27" s="10"/>
      <c r="F27" s="10"/>
      <c r="G27" s="10"/>
      <c r="H27" s="10"/>
    </row>
    <row r="28" spans="1:8" ht="19.5" customHeight="1" x14ac:dyDescent="0.2">
      <c r="A28" s="8">
        <v>26</v>
      </c>
      <c r="B28" s="9" t="s">
        <v>208</v>
      </c>
      <c r="C28" s="8" t="s">
        <v>18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6">
        <v>27</v>
      </c>
      <c r="B29" s="7" t="s">
        <v>209</v>
      </c>
      <c r="C29" s="6" t="s">
        <v>20</v>
      </c>
      <c r="D29" s="6" t="s">
        <v>11</v>
      </c>
      <c r="E29" s="6"/>
      <c r="F29" s="6"/>
      <c r="G29" s="6"/>
      <c r="H29" s="6"/>
    </row>
    <row r="30" spans="1:8" ht="19.5" customHeight="1" x14ac:dyDescent="0.2">
      <c r="A30" s="8">
        <v>28</v>
      </c>
      <c r="B30" s="9" t="s">
        <v>210</v>
      </c>
      <c r="C30" s="8" t="s">
        <v>22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6">
        <v>29</v>
      </c>
      <c r="B31" s="7" t="s">
        <v>211</v>
      </c>
      <c r="C31" s="6" t="s">
        <v>24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8">
        <v>30</v>
      </c>
      <c r="B32" s="9" t="s">
        <v>212</v>
      </c>
      <c r="C32" s="8" t="s">
        <v>10</v>
      </c>
      <c r="D32" s="8" t="s">
        <v>11</v>
      </c>
      <c r="E32" s="8"/>
      <c r="F32" s="8"/>
      <c r="G32" s="8"/>
      <c r="H32" s="8"/>
    </row>
    <row r="33" spans="1:8" ht="19.5" customHeight="1" x14ac:dyDescent="0.2">
      <c r="A33" s="6">
        <v>31</v>
      </c>
      <c r="B33" s="7" t="s">
        <v>213</v>
      </c>
      <c r="C33" s="6" t="s">
        <v>13</v>
      </c>
      <c r="D33" s="6" t="s">
        <v>11</v>
      </c>
      <c r="E33" s="6"/>
      <c r="F33" s="6"/>
      <c r="G33" s="6"/>
      <c r="H33" s="6"/>
    </row>
    <row r="34" spans="1:8" ht="21.75" customHeight="1" x14ac:dyDescent="0.2">
      <c r="A34" s="3" t="s">
        <v>49</v>
      </c>
      <c r="B34" s="3"/>
      <c r="C34" s="3"/>
      <c r="D34" s="13" t="s">
        <v>50</v>
      </c>
      <c r="E34" s="13" t="s">
        <v>51</v>
      </c>
      <c r="F34" s="13" t="s">
        <v>52</v>
      </c>
      <c r="G34" s="13" t="s">
        <v>53</v>
      </c>
      <c r="H34" s="13" t="s">
        <v>54</v>
      </c>
    </row>
    <row r="35" spans="1:8" ht="21.75" customHeight="1" x14ac:dyDescent="0.2">
      <c r="A35" s="2"/>
      <c r="B35" s="2"/>
      <c r="C35" s="2"/>
      <c r="D35" s="14">
        <f>COUNTIF(D3:D33,"On Duty")</f>
        <v>27</v>
      </c>
      <c r="E35" s="14">
        <f>COUNTA(E3:E33)</f>
        <v>0</v>
      </c>
      <c r="F35" s="14">
        <f>COUNTA(F3:F33)</f>
        <v>0</v>
      </c>
      <c r="G35" s="15">
        <f>SUM(G3:G33)</f>
        <v>0</v>
      </c>
      <c r="H35" s="15">
        <f>SUM(H3:H33)</f>
        <v>0</v>
      </c>
    </row>
    <row r="37" spans="1:8" ht="27.75" customHeight="1" x14ac:dyDescent="0.2">
      <c r="A37" s="1" t="s">
        <v>55</v>
      </c>
      <c r="B37" s="1"/>
      <c r="C37" s="1"/>
      <c r="D37" s="1"/>
      <c r="E37" s="1"/>
      <c r="F37" s="1"/>
      <c r="G37" s="1"/>
      <c r="H37" s="1"/>
    </row>
  </sheetData>
  <mergeCells count="4">
    <mergeCell ref="A1:H1"/>
    <mergeCell ref="A34:C34"/>
    <mergeCell ref="A35:C35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214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10">
        <v>1</v>
      </c>
      <c r="B3" s="11" t="s">
        <v>215</v>
      </c>
      <c r="C3" s="10" t="s">
        <v>15</v>
      </c>
      <c r="D3" s="12" t="s">
        <v>16</v>
      </c>
      <c r="E3" s="10"/>
      <c r="F3" s="10"/>
      <c r="G3" s="10"/>
      <c r="H3" s="10"/>
    </row>
    <row r="4" spans="1:8" ht="19.5" customHeight="1" x14ac:dyDescent="0.2">
      <c r="A4" s="8">
        <v>2</v>
      </c>
      <c r="B4" s="9" t="s">
        <v>216</v>
      </c>
      <c r="C4" s="8" t="s">
        <v>18</v>
      </c>
      <c r="D4" s="8" t="s">
        <v>11</v>
      </c>
      <c r="E4" s="8"/>
      <c r="F4" s="8"/>
      <c r="G4" s="8"/>
      <c r="H4" s="8"/>
    </row>
    <row r="5" spans="1:8" ht="19.5" customHeight="1" x14ac:dyDescent="0.2">
      <c r="A5" s="6">
        <v>3</v>
      </c>
      <c r="B5" s="7" t="s">
        <v>217</v>
      </c>
      <c r="C5" s="6" t="s">
        <v>20</v>
      </c>
      <c r="D5" s="6" t="s">
        <v>11</v>
      </c>
      <c r="E5" s="6"/>
      <c r="F5" s="6"/>
      <c r="G5" s="6"/>
      <c r="H5" s="6"/>
    </row>
    <row r="6" spans="1:8" ht="19.5" customHeight="1" x14ac:dyDescent="0.2">
      <c r="A6" s="8">
        <v>4</v>
      </c>
      <c r="B6" s="9" t="s">
        <v>218</v>
      </c>
      <c r="C6" s="8" t="s">
        <v>22</v>
      </c>
      <c r="D6" s="8" t="s">
        <v>11</v>
      </c>
      <c r="E6" s="8"/>
      <c r="F6" s="8"/>
      <c r="G6" s="8"/>
      <c r="H6" s="8"/>
    </row>
    <row r="7" spans="1:8" ht="19.5" customHeight="1" x14ac:dyDescent="0.2">
      <c r="A7" s="6">
        <v>5</v>
      </c>
      <c r="B7" s="7" t="s">
        <v>219</v>
      </c>
      <c r="C7" s="6" t="s">
        <v>24</v>
      </c>
      <c r="D7" s="6" t="s">
        <v>11</v>
      </c>
      <c r="E7" s="6"/>
      <c r="F7" s="6"/>
      <c r="G7" s="6"/>
      <c r="H7" s="6"/>
    </row>
    <row r="8" spans="1:8" ht="19.5" customHeight="1" x14ac:dyDescent="0.2">
      <c r="A8" s="8">
        <v>6</v>
      </c>
      <c r="B8" s="9" t="s">
        <v>220</v>
      </c>
      <c r="C8" s="8" t="s">
        <v>10</v>
      </c>
      <c r="D8" s="8" t="s">
        <v>11</v>
      </c>
      <c r="E8" s="8"/>
      <c r="F8" s="8"/>
      <c r="G8" s="8"/>
      <c r="H8" s="8"/>
    </row>
    <row r="9" spans="1:8" ht="19.5" customHeight="1" x14ac:dyDescent="0.2">
      <c r="A9" s="6">
        <v>7</v>
      </c>
      <c r="B9" s="7" t="s">
        <v>221</v>
      </c>
      <c r="C9" s="6" t="s">
        <v>13</v>
      </c>
      <c r="D9" s="6" t="s">
        <v>11</v>
      </c>
      <c r="E9" s="6"/>
      <c r="F9" s="6"/>
      <c r="G9" s="6"/>
      <c r="H9" s="6"/>
    </row>
    <row r="10" spans="1:8" ht="19.5" customHeight="1" x14ac:dyDescent="0.2">
      <c r="A10" s="10">
        <v>8</v>
      </c>
      <c r="B10" s="11" t="s">
        <v>222</v>
      </c>
      <c r="C10" s="10" t="s">
        <v>15</v>
      </c>
      <c r="D10" s="12" t="s">
        <v>16</v>
      </c>
      <c r="E10" s="10"/>
      <c r="F10" s="10"/>
      <c r="G10" s="10"/>
      <c r="H10" s="10"/>
    </row>
    <row r="11" spans="1:8" ht="19.5" customHeight="1" x14ac:dyDescent="0.2">
      <c r="A11" s="6">
        <v>9</v>
      </c>
      <c r="B11" s="7" t="s">
        <v>223</v>
      </c>
      <c r="C11" s="6" t="s">
        <v>18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8">
        <v>10</v>
      </c>
      <c r="B12" s="9" t="s">
        <v>224</v>
      </c>
      <c r="C12" s="8" t="s">
        <v>20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6">
        <v>11</v>
      </c>
      <c r="B13" s="7" t="s">
        <v>225</v>
      </c>
      <c r="C13" s="6" t="s">
        <v>22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8">
        <v>12</v>
      </c>
      <c r="B14" s="9" t="s">
        <v>226</v>
      </c>
      <c r="C14" s="8" t="s">
        <v>24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6">
        <v>13</v>
      </c>
      <c r="B15" s="7" t="s">
        <v>227</v>
      </c>
      <c r="C15" s="6" t="s">
        <v>10</v>
      </c>
      <c r="D15" s="6" t="s">
        <v>11</v>
      </c>
      <c r="E15" s="6"/>
      <c r="F15" s="6"/>
      <c r="G15" s="6"/>
      <c r="H15" s="6"/>
    </row>
    <row r="16" spans="1:8" ht="19.5" customHeight="1" x14ac:dyDescent="0.2">
      <c r="A16" s="8">
        <v>14</v>
      </c>
      <c r="B16" s="9" t="s">
        <v>228</v>
      </c>
      <c r="C16" s="8" t="s">
        <v>13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10">
        <v>15</v>
      </c>
      <c r="B17" s="11" t="s">
        <v>229</v>
      </c>
      <c r="C17" s="10" t="s">
        <v>15</v>
      </c>
      <c r="D17" s="12" t="s">
        <v>16</v>
      </c>
      <c r="E17" s="10"/>
      <c r="F17" s="10"/>
      <c r="G17" s="10"/>
      <c r="H17" s="10"/>
    </row>
    <row r="18" spans="1:8" ht="19.5" customHeight="1" x14ac:dyDescent="0.2">
      <c r="A18" s="8">
        <v>16</v>
      </c>
      <c r="B18" s="9" t="s">
        <v>230</v>
      </c>
      <c r="C18" s="8" t="s">
        <v>18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6">
        <v>17</v>
      </c>
      <c r="B19" s="7" t="s">
        <v>231</v>
      </c>
      <c r="C19" s="6" t="s">
        <v>20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8">
        <v>18</v>
      </c>
      <c r="B20" s="9" t="s">
        <v>232</v>
      </c>
      <c r="C20" s="8" t="s">
        <v>22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6">
        <v>19</v>
      </c>
      <c r="B21" s="7" t="s">
        <v>233</v>
      </c>
      <c r="C21" s="6" t="s">
        <v>24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8">
        <v>20</v>
      </c>
      <c r="B22" s="9" t="s">
        <v>234</v>
      </c>
      <c r="C22" s="8" t="s">
        <v>10</v>
      </c>
      <c r="D22" s="8" t="s">
        <v>11</v>
      </c>
      <c r="E22" s="8"/>
      <c r="F22" s="8"/>
      <c r="G22" s="8"/>
      <c r="H22" s="8"/>
    </row>
    <row r="23" spans="1:8" ht="19.5" customHeight="1" x14ac:dyDescent="0.2">
      <c r="A23" s="6">
        <v>21</v>
      </c>
      <c r="B23" s="7" t="s">
        <v>235</v>
      </c>
      <c r="C23" s="6" t="s">
        <v>13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10">
        <v>22</v>
      </c>
      <c r="B24" s="11" t="s">
        <v>236</v>
      </c>
      <c r="C24" s="10" t="s">
        <v>15</v>
      </c>
      <c r="D24" s="12" t="s">
        <v>16</v>
      </c>
      <c r="E24" s="10"/>
      <c r="F24" s="10"/>
      <c r="G24" s="10"/>
      <c r="H24" s="10"/>
    </row>
    <row r="25" spans="1:8" ht="19.5" customHeight="1" x14ac:dyDescent="0.2">
      <c r="A25" s="6">
        <v>23</v>
      </c>
      <c r="B25" s="7" t="s">
        <v>237</v>
      </c>
      <c r="C25" s="6" t="s">
        <v>18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8">
        <v>24</v>
      </c>
      <c r="B26" s="9" t="s">
        <v>238</v>
      </c>
      <c r="C26" s="8" t="s">
        <v>20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6">
        <v>25</v>
      </c>
      <c r="B27" s="7" t="s">
        <v>239</v>
      </c>
      <c r="C27" s="6" t="s">
        <v>22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8">
        <v>26</v>
      </c>
      <c r="B28" s="9" t="s">
        <v>240</v>
      </c>
      <c r="C28" s="8" t="s">
        <v>24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6">
        <v>27</v>
      </c>
      <c r="B29" s="7" t="s">
        <v>241</v>
      </c>
      <c r="C29" s="6" t="s">
        <v>10</v>
      </c>
      <c r="D29" s="6" t="s">
        <v>11</v>
      </c>
      <c r="E29" s="6"/>
      <c r="F29" s="6"/>
      <c r="G29" s="6"/>
      <c r="H29" s="6"/>
    </row>
    <row r="30" spans="1:8" ht="19.5" customHeight="1" x14ac:dyDescent="0.2">
      <c r="A30" s="8">
        <v>28</v>
      </c>
      <c r="B30" s="9" t="s">
        <v>242</v>
      </c>
      <c r="C30" s="8" t="s">
        <v>13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10">
        <v>29</v>
      </c>
      <c r="B31" s="11" t="s">
        <v>243</v>
      </c>
      <c r="C31" s="10" t="s">
        <v>15</v>
      </c>
      <c r="D31" s="12" t="s">
        <v>16</v>
      </c>
      <c r="E31" s="10"/>
      <c r="F31" s="10"/>
      <c r="G31" s="10"/>
      <c r="H31" s="10"/>
    </row>
    <row r="32" spans="1:8" ht="19.5" customHeight="1" x14ac:dyDescent="0.2">
      <c r="A32" s="8">
        <v>30</v>
      </c>
      <c r="B32" s="9" t="s">
        <v>244</v>
      </c>
      <c r="C32" s="8" t="s">
        <v>18</v>
      </c>
      <c r="D32" s="8" t="s">
        <v>11</v>
      </c>
      <c r="E32" s="8"/>
      <c r="F32" s="8"/>
      <c r="G32" s="8"/>
      <c r="H32" s="8"/>
    </row>
    <row r="33" spans="1:8" ht="21.75" customHeight="1" x14ac:dyDescent="0.2">
      <c r="A33" s="3" t="s">
        <v>49</v>
      </c>
      <c r="B33" s="3"/>
      <c r="C33" s="3"/>
      <c r="D33" s="13" t="s">
        <v>50</v>
      </c>
      <c r="E33" s="13" t="s">
        <v>51</v>
      </c>
      <c r="F33" s="13" t="s">
        <v>52</v>
      </c>
      <c r="G33" s="13" t="s">
        <v>53</v>
      </c>
      <c r="H33" s="13" t="s">
        <v>54</v>
      </c>
    </row>
    <row r="34" spans="1:8" ht="21.75" customHeight="1" x14ac:dyDescent="0.2">
      <c r="A34" s="2"/>
      <c r="B34" s="2"/>
      <c r="C34" s="2"/>
      <c r="D34" s="14">
        <f>COUNTIF(D3:D32,"On Duty")</f>
        <v>25</v>
      </c>
      <c r="E34" s="14">
        <f>COUNTA(E3:E32)</f>
        <v>0</v>
      </c>
      <c r="F34" s="14">
        <f>COUNTA(F3:F32)</f>
        <v>0</v>
      </c>
      <c r="G34" s="15">
        <f>SUM(G3:G32)</f>
        <v>0</v>
      </c>
      <c r="H34" s="15">
        <f>SUM(H3:H32)</f>
        <v>0</v>
      </c>
    </row>
    <row r="36" spans="1:8" ht="27.75" customHeight="1" x14ac:dyDescent="0.2">
      <c r="A36" s="1" t="s">
        <v>55</v>
      </c>
      <c r="B36" s="1"/>
      <c r="C36" s="1"/>
      <c r="D36" s="1"/>
      <c r="E36" s="1"/>
      <c r="F36" s="1"/>
      <c r="G36" s="1"/>
      <c r="H36" s="1"/>
    </row>
  </sheetData>
  <mergeCells count="4">
    <mergeCell ref="A1:H1"/>
    <mergeCell ref="A33:C33"/>
    <mergeCell ref="A34:C34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8" width="13.98828125" customWidth="1"/>
  </cols>
  <sheetData>
    <row r="1" spans="1:8" ht="27.75" customHeight="1" x14ac:dyDescent="0.2">
      <c r="A1" s="4" t="s">
        <v>245</v>
      </c>
      <c r="B1" s="4"/>
      <c r="C1" s="4"/>
      <c r="D1" s="4"/>
      <c r="E1" s="4"/>
      <c r="F1" s="4"/>
      <c r="G1" s="4"/>
      <c r="H1" s="4"/>
    </row>
    <row r="2" spans="1:8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5" customHeight="1" x14ac:dyDescent="0.2">
      <c r="A3" s="6">
        <v>1</v>
      </c>
      <c r="B3" s="7" t="s">
        <v>246</v>
      </c>
      <c r="C3" s="6" t="s">
        <v>20</v>
      </c>
      <c r="D3" s="6" t="s">
        <v>11</v>
      </c>
      <c r="E3" s="6"/>
      <c r="F3" s="6"/>
      <c r="G3" s="6"/>
      <c r="H3" s="6"/>
    </row>
    <row r="4" spans="1:8" ht="19.5" customHeight="1" x14ac:dyDescent="0.2">
      <c r="A4" s="8">
        <v>2</v>
      </c>
      <c r="B4" s="9" t="s">
        <v>247</v>
      </c>
      <c r="C4" s="8" t="s">
        <v>22</v>
      </c>
      <c r="D4" s="8" t="s">
        <v>11</v>
      </c>
      <c r="E4" s="8"/>
      <c r="F4" s="8"/>
      <c r="G4" s="8"/>
      <c r="H4" s="8"/>
    </row>
    <row r="5" spans="1:8" ht="19.5" customHeight="1" x14ac:dyDescent="0.2">
      <c r="A5" s="6">
        <v>3</v>
      </c>
      <c r="B5" s="7" t="s">
        <v>248</v>
      </c>
      <c r="C5" s="6" t="s">
        <v>24</v>
      </c>
      <c r="D5" s="6" t="s">
        <v>11</v>
      </c>
      <c r="E5" s="6"/>
      <c r="F5" s="6"/>
      <c r="G5" s="6"/>
      <c r="H5" s="6"/>
    </row>
    <row r="6" spans="1:8" ht="19.5" customHeight="1" x14ac:dyDescent="0.2">
      <c r="A6" s="8">
        <v>4</v>
      </c>
      <c r="B6" s="9" t="s">
        <v>249</v>
      </c>
      <c r="C6" s="8" t="s">
        <v>10</v>
      </c>
      <c r="D6" s="8" t="s">
        <v>11</v>
      </c>
      <c r="E6" s="8"/>
      <c r="F6" s="8"/>
      <c r="G6" s="8"/>
      <c r="H6" s="8"/>
    </row>
    <row r="7" spans="1:8" ht="19.5" customHeight="1" x14ac:dyDescent="0.2">
      <c r="A7" s="6">
        <v>5</v>
      </c>
      <c r="B7" s="7" t="s">
        <v>250</v>
      </c>
      <c r="C7" s="6" t="s">
        <v>13</v>
      </c>
      <c r="D7" s="6" t="s">
        <v>11</v>
      </c>
      <c r="E7" s="6"/>
      <c r="F7" s="6"/>
      <c r="G7" s="6"/>
      <c r="H7" s="6"/>
    </row>
    <row r="8" spans="1:8" ht="19.5" customHeight="1" x14ac:dyDescent="0.2">
      <c r="A8" s="10">
        <v>6</v>
      </c>
      <c r="B8" s="11" t="s">
        <v>251</v>
      </c>
      <c r="C8" s="10" t="s">
        <v>15</v>
      </c>
      <c r="D8" s="12" t="s">
        <v>16</v>
      </c>
      <c r="E8" s="10"/>
      <c r="F8" s="10"/>
      <c r="G8" s="10"/>
      <c r="H8" s="10"/>
    </row>
    <row r="9" spans="1:8" ht="19.5" customHeight="1" x14ac:dyDescent="0.2">
      <c r="A9" s="6">
        <v>7</v>
      </c>
      <c r="B9" s="7" t="s">
        <v>252</v>
      </c>
      <c r="C9" s="6" t="s">
        <v>18</v>
      </c>
      <c r="D9" s="6" t="s">
        <v>11</v>
      </c>
      <c r="E9" s="6"/>
      <c r="F9" s="6"/>
      <c r="G9" s="6"/>
      <c r="H9" s="6"/>
    </row>
    <row r="10" spans="1:8" ht="19.5" customHeight="1" x14ac:dyDescent="0.2">
      <c r="A10" s="8">
        <v>8</v>
      </c>
      <c r="B10" s="9" t="s">
        <v>253</v>
      </c>
      <c r="C10" s="8" t="s">
        <v>20</v>
      </c>
      <c r="D10" s="8" t="s">
        <v>11</v>
      </c>
      <c r="E10" s="8"/>
      <c r="F10" s="8"/>
      <c r="G10" s="8"/>
      <c r="H10" s="8"/>
    </row>
    <row r="11" spans="1:8" ht="19.5" customHeight="1" x14ac:dyDescent="0.2">
      <c r="A11" s="6">
        <v>9</v>
      </c>
      <c r="B11" s="7" t="s">
        <v>254</v>
      </c>
      <c r="C11" s="6" t="s">
        <v>22</v>
      </c>
      <c r="D11" s="6" t="s">
        <v>11</v>
      </c>
      <c r="E11" s="6"/>
      <c r="F11" s="6"/>
      <c r="G11" s="6"/>
      <c r="H11" s="6"/>
    </row>
    <row r="12" spans="1:8" ht="19.5" customHeight="1" x14ac:dyDescent="0.2">
      <c r="A12" s="8">
        <v>10</v>
      </c>
      <c r="B12" s="9" t="s">
        <v>255</v>
      </c>
      <c r="C12" s="8" t="s">
        <v>24</v>
      </c>
      <c r="D12" s="8" t="s">
        <v>11</v>
      </c>
      <c r="E12" s="8"/>
      <c r="F12" s="8"/>
      <c r="G12" s="8"/>
      <c r="H12" s="8"/>
    </row>
    <row r="13" spans="1:8" ht="19.5" customHeight="1" x14ac:dyDescent="0.2">
      <c r="A13" s="6">
        <v>11</v>
      </c>
      <c r="B13" s="7" t="s">
        <v>256</v>
      </c>
      <c r="C13" s="6" t="s">
        <v>10</v>
      </c>
      <c r="D13" s="6" t="s">
        <v>11</v>
      </c>
      <c r="E13" s="6"/>
      <c r="F13" s="6"/>
      <c r="G13" s="6"/>
      <c r="H13" s="6"/>
    </row>
    <row r="14" spans="1:8" ht="19.5" customHeight="1" x14ac:dyDescent="0.2">
      <c r="A14" s="8">
        <v>12</v>
      </c>
      <c r="B14" s="9" t="s">
        <v>257</v>
      </c>
      <c r="C14" s="8" t="s">
        <v>13</v>
      </c>
      <c r="D14" s="8" t="s">
        <v>11</v>
      </c>
      <c r="E14" s="8"/>
      <c r="F14" s="8"/>
      <c r="G14" s="8"/>
      <c r="H14" s="8"/>
    </row>
    <row r="15" spans="1:8" ht="19.5" customHeight="1" x14ac:dyDescent="0.2">
      <c r="A15" s="10">
        <v>13</v>
      </c>
      <c r="B15" s="11" t="s">
        <v>258</v>
      </c>
      <c r="C15" s="10" t="s">
        <v>15</v>
      </c>
      <c r="D15" s="12" t="s">
        <v>16</v>
      </c>
      <c r="E15" s="10"/>
      <c r="F15" s="10"/>
      <c r="G15" s="10"/>
      <c r="H15" s="10"/>
    </row>
    <row r="16" spans="1:8" ht="19.5" customHeight="1" x14ac:dyDescent="0.2">
      <c r="A16" s="8">
        <v>14</v>
      </c>
      <c r="B16" s="9" t="s">
        <v>259</v>
      </c>
      <c r="C16" s="8" t="s">
        <v>18</v>
      </c>
      <c r="D16" s="8" t="s">
        <v>11</v>
      </c>
      <c r="E16" s="8"/>
      <c r="F16" s="8"/>
      <c r="G16" s="8"/>
      <c r="H16" s="8"/>
    </row>
    <row r="17" spans="1:8" ht="19.5" customHeight="1" x14ac:dyDescent="0.2">
      <c r="A17" s="6">
        <v>15</v>
      </c>
      <c r="B17" s="7" t="s">
        <v>260</v>
      </c>
      <c r="C17" s="6" t="s">
        <v>20</v>
      </c>
      <c r="D17" s="6" t="s">
        <v>11</v>
      </c>
      <c r="E17" s="6"/>
      <c r="F17" s="6"/>
      <c r="G17" s="6"/>
      <c r="H17" s="6"/>
    </row>
    <row r="18" spans="1:8" ht="19.5" customHeight="1" x14ac:dyDescent="0.2">
      <c r="A18" s="8">
        <v>16</v>
      </c>
      <c r="B18" s="9" t="s">
        <v>261</v>
      </c>
      <c r="C18" s="8" t="s">
        <v>22</v>
      </c>
      <c r="D18" s="8" t="s">
        <v>11</v>
      </c>
      <c r="E18" s="8"/>
      <c r="F18" s="8"/>
      <c r="G18" s="8"/>
      <c r="H18" s="8"/>
    </row>
    <row r="19" spans="1:8" ht="19.5" customHeight="1" x14ac:dyDescent="0.2">
      <c r="A19" s="6">
        <v>17</v>
      </c>
      <c r="B19" s="7" t="s">
        <v>262</v>
      </c>
      <c r="C19" s="6" t="s">
        <v>24</v>
      </c>
      <c r="D19" s="6" t="s">
        <v>11</v>
      </c>
      <c r="E19" s="6"/>
      <c r="F19" s="6"/>
      <c r="G19" s="6"/>
      <c r="H19" s="6"/>
    </row>
    <row r="20" spans="1:8" ht="19.5" customHeight="1" x14ac:dyDescent="0.2">
      <c r="A20" s="8">
        <v>18</v>
      </c>
      <c r="B20" s="9" t="s">
        <v>263</v>
      </c>
      <c r="C20" s="8" t="s">
        <v>10</v>
      </c>
      <c r="D20" s="8" t="s">
        <v>11</v>
      </c>
      <c r="E20" s="8"/>
      <c r="F20" s="8"/>
      <c r="G20" s="8"/>
      <c r="H20" s="8"/>
    </row>
    <row r="21" spans="1:8" ht="19.5" customHeight="1" x14ac:dyDescent="0.2">
      <c r="A21" s="6">
        <v>19</v>
      </c>
      <c r="B21" s="7" t="s">
        <v>264</v>
      </c>
      <c r="C21" s="6" t="s">
        <v>13</v>
      </c>
      <c r="D21" s="6" t="s">
        <v>11</v>
      </c>
      <c r="E21" s="6"/>
      <c r="F21" s="6"/>
      <c r="G21" s="6"/>
      <c r="H21" s="6"/>
    </row>
    <row r="22" spans="1:8" ht="19.5" customHeight="1" x14ac:dyDescent="0.2">
      <c r="A22" s="10">
        <v>20</v>
      </c>
      <c r="B22" s="11" t="s">
        <v>265</v>
      </c>
      <c r="C22" s="10" t="s">
        <v>15</v>
      </c>
      <c r="D22" s="12" t="s">
        <v>16</v>
      </c>
      <c r="E22" s="10"/>
      <c r="F22" s="10"/>
      <c r="G22" s="10"/>
      <c r="H22" s="10"/>
    </row>
    <row r="23" spans="1:8" ht="19.5" customHeight="1" x14ac:dyDescent="0.2">
      <c r="A23" s="6">
        <v>21</v>
      </c>
      <c r="B23" s="7" t="s">
        <v>266</v>
      </c>
      <c r="C23" s="6" t="s">
        <v>18</v>
      </c>
      <c r="D23" s="6" t="s">
        <v>11</v>
      </c>
      <c r="E23" s="6"/>
      <c r="F23" s="6"/>
      <c r="G23" s="6"/>
      <c r="H23" s="6"/>
    </row>
    <row r="24" spans="1:8" ht="19.5" customHeight="1" x14ac:dyDescent="0.2">
      <c r="A24" s="8">
        <v>22</v>
      </c>
      <c r="B24" s="9" t="s">
        <v>267</v>
      </c>
      <c r="C24" s="8" t="s">
        <v>20</v>
      </c>
      <c r="D24" s="8" t="s">
        <v>11</v>
      </c>
      <c r="E24" s="8"/>
      <c r="F24" s="8"/>
      <c r="G24" s="8"/>
      <c r="H24" s="8"/>
    </row>
    <row r="25" spans="1:8" ht="19.5" customHeight="1" x14ac:dyDescent="0.2">
      <c r="A25" s="6">
        <v>23</v>
      </c>
      <c r="B25" s="7" t="s">
        <v>268</v>
      </c>
      <c r="C25" s="6" t="s">
        <v>22</v>
      </c>
      <c r="D25" s="6" t="s">
        <v>11</v>
      </c>
      <c r="E25" s="6"/>
      <c r="F25" s="6"/>
      <c r="G25" s="6"/>
      <c r="H25" s="6"/>
    </row>
    <row r="26" spans="1:8" ht="19.5" customHeight="1" x14ac:dyDescent="0.2">
      <c r="A26" s="8">
        <v>24</v>
      </c>
      <c r="B26" s="9" t="s">
        <v>269</v>
      </c>
      <c r="C26" s="8" t="s">
        <v>24</v>
      </c>
      <c r="D26" s="8" t="s">
        <v>11</v>
      </c>
      <c r="E26" s="8"/>
      <c r="F26" s="8"/>
      <c r="G26" s="8"/>
      <c r="H26" s="8"/>
    </row>
    <row r="27" spans="1:8" ht="19.5" customHeight="1" x14ac:dyDescent="0.2">
      <c r="A27" s="6">
        <v>25</v>
      </c>
      <c r="B27" s="7" t="s">
        <v>270</v>
      </c>
      <c r="C27" s="6" t="s">
        <v>10</v>
      </c>
      <c r="D27" s="6" t="s">
        <v>11</v>
      </c>
      <c r="E27" s="6"/>
      <c r="F27" s="6"/>
      <c r="G27" s="6"/>
      <c r="H27" s="6"/>
    </row>
    <row r="28" spans="1:8" ht="19.5" customHeight="1" x14ac:dyDescent="0.2">
      <c r="A28" s="8">
        <v>26</v>
      </c>
      <c r="B28" s="9" t="s">
        <v>271</v>
      </c>
      <c r="C28" s="8" t="s">
        <v>13</v>
      </c>
      <c r="D28" s="8" t="s">
        <v>11</v>
      </c>
      <c r="E28" s="8"/>
      <c r="F28" s="8"/>
      <c r="G28" s="8"/>
      <c r="H28" s="8"/>
    </row>
    <row r="29" spans="1:8" ht="19.5" customHeight="1" x14ac:dyDescent="0.2">
      <c r="A29" s="10">
        <v>27</v>
      </c>
      <c r="B29" s="11" t="s">
        <v>272</v>
      </c>
      <c r="C29" s="10" t="s">
        <v>15</v>
      </c>
      <c r="D29" s="12" t="s">
        <v>16</v>
      </c>
      <c r="E29" s="10"/>
      <c r="F29" s="10"/>
      <c r="G29" s="10"/>
      <c r="H29" s="10"/>
    </row>
    <row r="30" spans="1:8" ht="19.5" customHeight="1" x14ac:dyDescent="0.2">
      <c r="A30" s="8">
        <v>28</v>
      </c>
      <c r="B30" s="9" t="s">
        <v>273</v>
      </c>
      <c r="C30" s="8" t="s">
        <v>18</v>
      </c>
      <c r="D30" s="8" t="s">
        <v>11</v>
      </c>
      <c r="E30" s="8"/>
      <c r="F30" s="8"/>
      <c r="G30" s="8"/>
      <c r="H30" s="8"/>
    </row>
    <row r="31" spans="1:8" ht="19.5" customHeight="1" x14ac:dyDescent="0.2">
      <c r="A31" s="6">
        <v>29</v>
      </c>
      <c r="B31" s="7" t="s">
        <v>274</v>
      </c>
      <c r="C31" s="6" t="s">
        <v>20</v>
      </c>
      <c r="D31" s="6" t="s">
        <v>11</v>
      </c>
      <c r="E31" s="6"/>
      <c r="F31" s="6"/>
      <c r="G31" s="6"/>
      <c r="H31" s="6"/>
    </row>
    <row r="32" spans="1:8" ht="19.5" customHeight="1" x14ac:dyDescent="0.2">
      <c r="A32" s="8">
        <v>30</v>
      </c>
      <c r="B32" s="9" t="s">
        <v>275</v>
      </c>
      <c r="C32" s="8" t="s">
        <v>22</v>
      </c>
      <c r="D32" s="8" t="s">
        <v>11</v>
      </c>
      <c r="E32" s="8"/>
      <c r="F32" s="8"/>
      <c r="G32" s="8"/>
      <c r="H32" s="8"/>
    </row>
    <row r="33" spans="1:8" ht="19.5" customHeight="1" x14ac:dyDescent="0.2">
      <c r="A33" s="6">
        <v>31</v>
      </c>
      <c r="B33" s="7" t="s">
        <v>276</v>
      </c>
      <c r="C33" s="6" t="s">
        <v>24</v>
      </c>
      <c r="D33" s="6" t="s">
        <v>11</v>
      </c>
      <c r="E33" s="6"/>
      <c r="F33" s="6"/>
      <c r="G33" s="6"/>
      <c r="H33" s="6"/>
    </row>
    <row r="34" spans="1:8" ht="21.75" customHeight="1" x14ac:dyDescent="0.2">
      <c r="A34" s="3" t="s">
        <v>49</v>
      </c>
      <c r="B34" s="3"/>
      <c r="C34" s="3"/>
      <c r="D34" s="13" t="s">
        <v>50</v>
      </c>
      <c r="E34" s="13" t="s">
        <v>51</v>
      </c>
      <c r="F34" s="13" t="s">
        <v>52</v>
      </c>
      <c r="G34" s="13" t="s">
        <v>53</v>
      </c>
      <c r="H34" s="13" t="s">
        <v>54</v>
      </c>
    </row>
    <row r="35" spans="1:8" ht="21.75" customHeight="1" x14ac:dyDescent="0.2">
      <c r="A35" s="2"/>
      <c r="B35" s="2"/>
      <c r="C35" s="2"/>
      <c r="D35" s="14">
        <f>COUNTIF(D3:D33,"On Duty")</f>
        <v>27</v>
      </c>
      <c r="E35" s="14">
        <f>COUNTA(E3:E33)</f>
        <v>0</v>
      </c>
      <c r="F35" s="14">
        <f>COUNTA(F3:F33)</f>
        <v>0</v>
      </c>
      <c r="G35" s="15">
        <f>SUM(G3:G33)</f>
        <v>0</v>
      </c>
      <c r="H35" s="15">
        <f>SUM(H3:H33)</f>
        <v>0</v>
      </c>
    </row>
    <row r="37" spans="1:8" ht="27.75" customHeight="1" x14ac:dyDescent="0.2">
      <c r="A37" s="1" t="s">
        <v>55</v>
      </c>
      <c r="B37" s="1"/>
      <c r="C37" s="1"/>
      <c r="D37" s="1"/>
      <c r="E37" s="1"/>
      <c r="F37" s="1"/>
      <c r="G37" s="1"/>
      <c r="H37" s="1"/>
    </row>
  </sheetData>
  <mergeCells count="4">
    <mergeCell ref="A1:H1"/>
    <mergeCell ref="A34:C34"/>
    <mergeCell ref="A35:C35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2026-05-10T11:04:33Z</dcterms:created>
  <dcterms:modified xsi:type="dcterms:W3CDTF">2026-05-10T11:04:33Z</dcterms:modified>
  <dc:language>en-US</dc:language>
</cp:coreProperties>
</file>